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DMUs" sheetId="2" r:id="rId2"/>
    <sheet name="Sheet2" sheetId="3" r:id="rId3"/>
    <sheet name="Sheet3" sheetId="4" r:id="rId4"/>
  </sheets>
  <definedNames>
    <definedName name="_xlnm._FilterDatabase" localSheetId="0" hidden="1">Sheet1!$C$1:$C$981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<sst xmlns="http://schemas.openxmlformats.org/spreadsheetml/2006/main" count="180" uniqueCount="103">
  <si>
    <t>Year</t>
  </si>
  <si>
    <t>DMU</t>
  </si>
  <si>
    <t>MI</t>
  </si>
  <si>
    <t>EC</t>
  </si>
  <si>
    <t>TC</t>
  </si>
  <si>
    <t>DMU 1</t>
  </si>
  <si>
    <t>DMU 2</t>
  </si>
  <si>
    <t>DMU 3</t>
  </si>
  <si>
    <t>DMU 4</t>
  </si>
  <si>
    <t>DMU 5</t>
  </si>
  <si>
    <t>DMU 6</t>
  </si>
  <si>
    <t>DMU 7</t>
  </si>
  <si>
    <t>DMU 8</t>
  </si>
  <si>
    <t>DMU 9</t>
  </si>
  <si>
    <t>DMU 10</t>
  </si>
  <si>
    <t>DMU 11</t>
  </si>
  <si>
    <t>DMU 12</t>
  </si>
  <si>
    <t>DMU 13</t>
  </si>
  <si>
    <t>DMU 14</t>
  </si>
  <si>
    <t>DMU 15</t>
  </si>
  <si>
    <t>DMU 16</t>
  </si>
  <si>
    <t>DMU 17</t>
  </si>
  <si>
    <t>DMU 18</t>
  </si>
  <si>
    <t>DMU 19</t>
  </si>
  <si>
    <t>DMU 20</t>
  </si>
  <si>
    <t>DMU 21</t>
  </si>
  <si>
    <t>DMU 22</t>
  </si>
  <si>
    <t>DMU 23</t>
  </si>
  <si>
    <t>DMU 24</t>
  </si>
  <si>
    <t>DMU 25</t>
  </si>
  <si>
    <t>DMU 26</t>
  </si>
  <si>
    <t>DMU 27</t>
  </si>
  <si>
    <t>DMU 28</t>
  </si>
  <si>
    <t>DMU 29</t>
  </si>
  <si>
    <t>DMU 30</t>
  </si>
  <si>
    <t>DMU 31</t>
  </si>
  <si>
    <t>DMU 32</t>
  </si>
  <si>
    <t>DMU 33</t>
  </si>
  <si>
    <t>DMU 34</t>
  </si>
  <si>
    <t>DMU 35</t>
  </si>
  <si>
    <t>DMU (1)</t>
  </si>
  <si>
    <t>Australia</t>
  </si>
  <si>
    <t>Annual GML Index (MI)</t>
  </si>
  <si>
    <t>Cumulative Calculation Method</t>
  </si>
  <si>
    <t>Cumulative Efficiency Value (GML)</t>
  </si>
  <si>
    <t>Base Year</t>
  </si>
  <si>
    <t>1.0×1.00058237965236</t>
  </si>
  <si>
    <t>1.00058237965236×0.998708831705849</t>
  </si>
  <si>
    <t>0.999290459408065×0.984967501549618</t>
  </si>
  <si>
    <t>0.984268627125531×0.985001077701097</t>
  </si>
  <si>
    <t>0.969505658466027×1.00181365796915</t>
  </si>
  <si>
    <t>0.971264010129636×1.02633142123989</t>
  </si>
  <si>
    <t>0.9968387719155×0.983088214211067</t>
  </si>
  <si>
    <t>0.979980448138761×0.985907895135021</t>
  </si>
  <si>
    <t>0.966170460897961×1.03250064220998</t>
  </si>
  <si>
    <t>0.997571621361459×1.01403878166522</t>
  </si>
  <si>
    <t>1.01157631154917×0.992215249058513</t>
  </si>
  <si>
    <t>1.00370144190546×1.0068587888434</t>
  </si>
  <si>
    <t>1.01058561815731×1.02833133722051</t>
  </si>
  <si>
    <t>1.03921686009552×0.98045934259119</t>
  </si>
  <si>
    <t>1.01890987945894×1.05849424586435</t>
  </si>
  <si>
    <t>1.07851024446162×1.05249458296396</t>
  </si>
  <si>
    <t>1.13512618996699×1.02555524810084</t>
  </si>
  <si>
    <t>1.16413462137736×1.000657284951</t>
  </si>
  <si>
    <t>1.16489978954493×0.9800474830702</t>
  </si>
  <si>
    <t>1.14165710677251×0.973542054858091</t>
  </si>
  <si>
    <t>1.11145120567066×0.977057826663442</t>
  </si>
  <si>
    <t>1.08595209945503×1.04672603271679</t>
  </si>
  <si>
    <t>1.13669433278304×1.00416101461285</t>
  </si>
  <si>
    <t>1.1414241345121×1.01243129864425</t>
  </si>
  <si>
    <t>1.15561351880797×1.00966903127515</t>
  </si>
  <si>
    <t>1.16678718206331×1.0311497383828</t>
  </si>
  <si>
    <t>1.20313229753299×0.99545025089957</t>
  </si>
  <si>
    <t>1.19765834744459×0.9944842586827</t>
  </si>
  <si>
    <t>Austria</t>
  </si>
  <si>
    <t>1.0×0.998758367414738</t>
  </si>
  <si>
    <t>0.998758367414738×0.98966054380697</t>
  </si>
  <si>
    <t>0.988431749027432×0.999836990091741</t>
  </si>
  <si>
    <t>0.988270624858703×0.997151842665836</t>
  </si>
  <si>
    <t>0.985455874630372×0.99567895819747</t>
  </si>
  <si>
    <t>0.981197678601546×0.997557722240904</t>
  </si>
  <si>
    <t>0.978801321333821×1.0032818760179</t>
  </si>
  <si>
    <t>0.982013625916594×1.01258464317175</t>
  </si>
  <si>
    <t>0.994371916988555×1.0137067870647</t>
  </si>
  <si>
    <t>1.00800156111784×1.00220949599906</t>
  </si>
  <si>
    <t>1.01022873653418×1.00475740305338</t>
  </si>
  <si>
    <t>1.01503480180998×0.995885492645362</t>
  </si>
  <si>
    <t>1.01085843365272×0.995552477848189</t>
  </si>
  <si>
    <t>1.0063626183767×1.0127600797181</t>
  </si>
  <si>
    <t>1.01920388561251×0.999155901270603</t>
  </si>
  <si>
    <t>1.01834357690767×0.996028100753645</t>
  </si>
  <si>
    <t>1.01429881882202×0.998540664901795</t>
  </si>
  <si>
    <t>1.01281861695564×1.0009614507024</t>
  </si>
  <si>
    <t>1.01379239212632×1.00321729294833</t>
  </si>
  <si>
    <t>1.01705405924058×1.00390696412191</t>
  </si>
  <si>
    <t>1.02102765296007×0.994648932421623</t>
  </si>
  <si>
    <t>1.01556406498969×0.99457995891668</t>
  </si>
  <si>
    <t>1.0100596660347×0.999233812710848</t>
  </si>
  <si>
    <t>1.0092857711573×0.994101711309649</t>
  </si>
  <si>
    <t>1.00333271230795×1.00599199269091</t>
  </si>
  <si>
    <t>1.00934467458665×1.00534129992475</t>
  </si>
  <si>
    <t>1.01473588722107×1.0080768569432</t>
  </si>
  <si>
    <t>1.02293176381728×1.00524768462174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</si>
</sst>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0"/>
    </font>
    <font>
      <sz val="11"/>
      <color theme="5" tint="-0.25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5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1" fillId="0" borderId="0" xfId="0" applyFont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1"/>
  <sheetViews>
    <sheetView tabSelected="1" zoomScale="90" zoomScaleNormal="90" workbookViewId="0">
      <selection activeCell="I12" sqref="I12"/>
    </sheetView>
  </sheetViews>
  <sheetFormatPr defaultColWidth="9" defaultRowHeight="14.4" outlineLevelCol="5"/>
  <cols>
    <col min="1" max="3" width="9" style="12"/>
    <col min="4" max="6" width="12.8888888888889" style="12"/>
  </cols>
  <sheetData>
    <row r="1" spans="1:6">
      <c r="B1" s="8" t="s">
        <v>0</v>
      </c>
      <c r="C1" s="13" t="s">
        <v>1</v>
      </c>
      <c r="D1" s="13" t="s">
        <v>2</v>
      </c>
      <c r="E1" s="13" t="s">
        <v>3</v>
      </c>
      <c r="F1" s="13" t="s">
        <v>4</v>
      </c>
    </row>
    <row r="2" spans="1:6">
      <c r="A2" s="13">
        <v>35</v>
      </c>
      <c r="B2" s="12">
        <v>1996</v>
      </c>
      <c r="C2" s="12">
        <v>1</v>
      </c>
      <c r="D2" s="12">
        <v>1.00058237965236</v>
      </c>
      <c r="E2" s="12">
        <v>1.00134497437592</v>
      </c>
      <c r="F2" s="12">
        <v>0.999238429569157</v>
      </c>
    </row>
    <row r="3" spans="1:6">
      <c r="A3" s="13">
        <v>36</v>
      </c>
      <c r="B3" s="12">
        <v>1996</v>
      </c>
      <c r="C3" s="12">
        <v>2</v>
      </c>
      <c r="D3" s="12">
        <v>0.998758367414738</v>
      </c>
      <c r="E3" s="12">
        <v>0.997485437627936</v>
      </c>
      <c r="F3" s="12">
        <v>1.0012761387172</v>
      </c>
    </row>
    <row r="4" spans="1:6">
      <c r="A4" s="13">
        <v>37</v>
      </c>
      <c r="B4" s="12">
        <v>1996</v>
      </c>
      <c r="C4" s="12">
        <v>3</v>
      </c>
      <c r="D4" s="12">
        <v>0.989291717572998</v>
      </c>
      <c r="E4" s="12">
        <v>0.999605635437312</v>
      </c>
      <c r="F4" s="12">
        <v>0.989682013087289</v>
      </c>
    </row>
    <row r="5" spans="1:6">
      <c r="A5" s="13">
        <v>38</v>
      </c>
      <c r="B5" s="12">
        <v>1996</v>
      </c>
      <c r="C5" s="12">
        <v>4</v>
      </c>
      <c r="D5" s="12">
        <v>1.02279202870709</v>
      </c>
      <c r="E5" s="12">
        <v>1.03311768444653</v>
      </c>
      <c r="F5" s="12">
        <v>0.990005344120143</v>
      </c>
    </row>
    <row r="6" spans="1:6">
      <c r="A6" s="13">
        <v>39</v>
      </c>
      <c r="B6" s="12">
        <v>1996</v>
      </c>
      <c r="C6" s="12">
        <v>5</v>
      </c>
      <c r="D6" s="12">
        <v>0.994478463617686</v>
      </c>
      <c r="E6" s="12">
        <v>0.992194965528608</v>
      </c>
      <c r="F6" s="12">
        <v>1.00230146107208</v>
      </c>
    </row>
    <row r="7" spans="1:6">
      <c r="A7" s="13">
        <v>40</v>
      </c>
      <c r="B7" s="12">
        <v>1996</v>
      </c>
      <c r="C7" s="12">
        <v>6</v>
      </c>
      <c r="D7" s="12">
        <v>0.990452509284307</v>
      </c>
      <c r="E7" s="12">
        <v>0.990181272314779</v>
      </c>
      <c r="F7" s="12">
        <v>1.00027392658002</v>
      </c>
    </row>
    <row r="8" spans="1:6">
      <c r="A8" s="13">
        <v>41</v>
      </c>
      <c r="B8" s="12">
        <v>1996</v>
      </c>
      <c r="C8" s="12">
        <v>7</v>
      </c>
      <c r="D8" s="12">
        <v>0.991148696361809</v>
      </c>
      <c r="E8" s="12">
        <v>0.999870317352939</v>
      </c>
      <c r="F8" s="12">
        <v>0.991277247819278</v>
      </c>
    </row>
    <row r="9" spans="1:6">
      <c r="A9" s="13">
        <v>42</v>
      </c>
      <c r="B9" s="12">
        <v>1996</v>
      </c>
      <c r="C9" s="12">
        <v>8</v>
      </c>
      <c r="D9" s="12">
        <v>0.998102576694588</v>
      </c>
      <c r="E9" s="12">
        <v>0.999926423625275</v>
      </c>
      <c r="F9" s="12">
        <v>0.998176018867394</v>
      </c>
    </row>
    <row r="10" spans="1:6">
      <c r="A10" s="13">
        <v>43</v>
      </c>
      <c r="B10" s="12">
        <v>1996</v>
      </c>
      <c r="C10" s="12">
        <v>9</v>
      </c>
      <c r="D10" s="12">
        <v>0.998066938750119</v>
      </c>
      <c r="E10" s="12">
        <v>0.99819362188891</v>
      </c>
      <c r="F10" s="12">
        <v>0.999873087609445</v>
      </c>
    </row>
    <row r="11" spans="1:6">
      <c r="A11" s="13">
        <v>44</v>
      </c>
      <c r="B11" s="12">
        <v>1996</v>
      </c>
      <c r="C11" s="12">
        <v>10</v>
      </c>
      <c r="D11" s="12">
        <v>1.02452330994087</v>
      </c>
      <c r="E11" s="12">
        <v>1.000174133256</v>
      </c>
      <c r="F11" s="12">
        <v>1.02434493742165</v>
      </c>
    </row>
    <row r="12" spans="1:6">
      <c r="A12" s="13">
        <v>45</v>
      </c>
      <c r="B12" s="12">
        <v>1996</v>
      </c>
      <c r="C12" s="12">
        <v>11</v>
      </c>
      <c r="D12" s="12">
        <v>1.01679294034501</v>
      </c>
      <c r="E12" s="12">
        <v>1.00042327551527</v>
      </c>
      <c r="F12" s="12">
        <v>1.01636273888301</v>
      </c>
    </row>
    <row r="13" spans="1:6">
      <c r="A13" s="13">
        <v>46</v>
      </c>
      <c r="B13" s="12">
        <v>1996</v>
      </c>
      <c r="C13" s="12">
        <v>12</v>
      </c>
      <c r="D13" s="12">
        <v>0.99776409571471</v>
      </c>
      <c r="E13" s="12">
        <v>0.992274185673993</v>
      </c>
      <c r="F13" s="12">
        <v>1.00553265430057</v>
      </c>
    </row>
    <row r="14" spans="1:6">
      <c r="A14" s="13">
        <v>47</v>
      </c>
      <c r="B14" s="12">
        <v>1996</v>
      </c>
      <c r="C14" s="12">
        <v>13</v>
      </c>
      <c r="D14" s="12">
        <v>0.995251965719268</v>
      </c>
      <c r="E14" s="12">
        <v>0.993121514123412</v>
      </c>
      <c r="F14" s="12">
        <v>1.00214520737448</v>
      </c>
    </row>
    <row r="15" spans="1:6">
      <c r="A15" s="13">
        <v>48</v>
      </c>
      <c r="B15" s="12">
        <v>1996</v>
      </c>
      <c r="C15" s="12">
        <v>14</v>
      </c>
      <c r="D15" s="12">
        <v>0.99972687818417</v>
      </c>
      <c r="E15" s="12">
        <v>0.998651331743471</v>
      </c>
      <c r="F15" s="12">
        <v>1.001076998955</v>
      </c>
    </row>
    <row r="16" spans="1:6">
      <c r="A16" s="13">
        <v>49</v>
      </c>
      <c r="B16" s="12">
        <v>1996</v>
      </c>
      <c r="C16" s="12">
        <v>15</v>
      </c>
      <c r="D16" s="12">
        <v>0.995858615541612</v>
      </c>
      <c r="E16" s="12">
        <v>0.998957830465357</v>
      </c>
      <c r="F16" s="12">
        <v>0.996897551799258</v>
      </c>
    </row>
    <row r="17" spans="1:6">
      <c r="A17" s="13">
        <v>50</v>
      </c>
      <c r="B17" s="12">
        <v>1996</v>
      </c>
      <c r="C17" s="12">
        <v>16</v>
      </c>
      <c r="D17" s="12">
        <v>0.99816512199259</v>
      </c>
      <c r="E17" s="12">
        <v>0.998740796782126</v>
      </c>
      <c r="F17" s="12">
        <v>0.99942359940498</v>
      </c>
    </row>
    <row r="18" spans="1:6">
      <c r="A18" s="13">
        <v>51</v>
      </c>
      <c r="B18" s="12">
        <v>1996</v>
      </c>
      <c r="C18" s="12">
        <v>17</v>
      </c>
      <c r="D18" s="12">
        <v>1.03465066276153</v>
      </c>
      <c r="E18" s="12">
        <v>1.00073041154489</v>
      </c>
      <c r="F18" s="12">
        <v>1.03389549355682</v>
      </c>
    </row>
    <row r="19" spans="1:6">
      <c r="A19" s="13">
        <v>52</v>
      </c>
      <c r="B19" s="12">
        <v>1996</v>
      </c>
      <c r="C19" s="12">
        <v>18</v>
      </c>
      <c r="D19" s="12">
        <v>0.89275608685069</v>
      </c>
      <c r="E19" s="12">
        <v>0.997033381461956</v>
      </c>
      <c r="F19" s="12">
        <v>0.89541243397652</v>
      </c>
    </row>
    <row r="20" spans="1:6">
      <c r="A20" s="13">
        <v>53</v>
      </c>
      <c r="B20" s="12">
        <v>1996</v>
      </c>
      <c r="C20" s="12">
        <v>19</v>
      </c>
      <c r="D20" s="12">
        <v>0.96904956708446</v>
      </c>
      <c r="E20" s="12">
        <v>0.986712999866933</v>
      </c>
      <c r="F20" s="12">
        <v>0.982098712812281</v>
      </c>
    </row>
    <row r="21" spans="1:6">
      <c r="A21" s="13">
        <v>54</v>
      </c>
      <c r="B21" s="12">
        <v>1996</v>
      </c>
      <c r="C21" s="12">
        <v>20</v>
      </c>
      <c r="D21" s="12">
        <v>0.999825075398519</v>
      </c>
      <c r="E21" s="12">
        <v>0.999937427835634</v>
      </c>
      <c r="F21" s="12">
        <v>0.99988764053231</v>
      </c>
    </row>
    <row r="22" spans="1:6">
      <c r="A22" s="13">
        <v>55</v>
      </c>
      <c r="B22" s="12">
        <v>1996</v>
      </c>
      <c r="C22" s="12">
        <v>21</v>
      </c>
      <c r="D22" s="12">
        <v>1.00156477760463</v>
      </c>
      <c r="E22" s="12">
        <v>1.00003363672605</v>
      </c>
      <c r="F22" s="12">
        <v>1.00153108937775</v>
      </c>
    </row>
    <row r="23" spans="1:6">
      <c r="A23" s="13">
        <v>56</v>
      </c>
      <c r="B23" s="12">
        <v>1996</v>
      </c>
      <c r="C23" s="12">
        <v>22</v>
      </c>
      <c r="D23" s="12">
        <v>0.995866244287992</v>
      </c>
      <c r="E23" s="12">
        <v>0.995699594958678</v>
      </c>
      <c r="F23" s="12">
        <v>1.00016736908417</v>
      </c>
    </row>
    <row r="24" spans="1:6">
      <c r="A24" s="13">
        <v>57</v>
      </c>
      <c r="B24" s="12">
        <v>1996</v>
      </c>
      <c r="C24" s="12">
        <v>23</v>
      </c>
      <c r="D24" s="12">
        <v>0.980096016241441</v>
      </c>
      <c r="E24" s="12">
        <v>0.968041117737497</v>
      </c>
      <c r="F24" s="12">
        <v>1.01245287858445</v>
      </c>
    </row>
    <row r="25" spans="1:6">
      <c r="A25" s="13">
        <v>58</v>
      </c>
      <c r="B25" s="12">
        <v>1996</v>
      </c>
      <c r="C25" s="12">
        <v>24</v>
      </c>
      <c r="D25" s="12">
        <v>0.999927180689647</v>
      </c>
      <c r="E25" s="12">
        <v>1.00465432601953</v>
      </c>
      <c r="F25" s="12">
        <v>0.995294754417062</v>
      </c>
    </row>
    <row r="26" spans="1:6">
      <c r="A26" s="13">
        <v>59</v>
      </c>
      <c r="B26" s="12">
        <v>1996</v>
      </c>
      <c r="C26" s="12">
        <v>25</v>
      </c>
      <c r="D26" s="12">
        <v>1.01749859774972</v>
      </c>
      <c r="E26" s="12">
        <v>1.03085669550299</v>
      </c>
      <c r="F26" s="12">
        <v>0.98704175099067</v>
      </c>
    </row>
    <row r="27" spans="1:6">
      <c r="A27" s="13">
        <v>60</v>
      </c>
      <c r="B27" s="12">
        <v>1996</v>
      </c>
      <c r="C27" s="12">
        <v>26</v>
      </c>
      <c r="D27" s="12">
        <v>0.96827566416916</v>
      </c>
      <c r="E27" s="12">
        <v>0.950642499548115</v>
      </c>
      <c r="F27" s="12">
        <v>1.01854868115977</v>
      </c>
    </row>
    <row r="28" spans="1:6">
      <c r="A28" s="13">
        <v>61</v>
      </c>
      <c r="B28" s="12">
        <v>1996</v>
      </c>
      <c r="C28" s="12">
        <v>27</v>
      </c>
      <c r="D28" s="12">
        <v>0.997187267113123</v>
      </c>
      <c r="E28" s="12">
        <v>0.996682300184202</v>
      </c>
      <c r="F28" s="12">
        <v>1.00050664783435</v>
      </c>
    </row>
    <row r="29" spans="1:6">
      <c r="A29" s="13">
        <v>62</v>
      </c>
      <c r="B29" s="12">
        <v>1996</v>
      </c>
      <c r="C29" s="12">
        <v>28</v>
      </c>
      <c r="D29" s="12">
        <v>0.987321625866323</v>
      </c>
      <c r="E29" s="12">
        <v>0.983590657298628</v>
      </c>
      <c r="F29" s="12">
        <v>1.00379321269474</v>
      </c>
    </row>
    <row r="30" spans="1:6">
      <c r="A30" s="13">
        <v>63</v>
      </c>
      <c r="B30" s="12">
        <v>1996</v>
      </c>
      <c r="C30" s="12">
        <v>29</v>
      </c>
      <c r="D30" s="12">
        <v>0.998241451836875</v>
      </c>
      <c r="E30" s="12">
        <v>0.99753684591559</v>
      </c>
      <c r="F30" s="12">
        <v>1.00070634575973</v>
      </c>
    </row>
    <row r="31" spans="1:6">
      <c r="A31" s="13">
        <v>64</v>
      </c>
      <c r="B31" s="12">
        <v>1996</v>
      </c>
      <c r="C31" s="12">
        <v>30</v>
      </c>
      <c r="D31" s="12">
        <v>1.0016686124858</v>
      </c>
      <c r="E31" s="12">
        <v>0.976111723276094</v>
      </c>
      <c r="F31" s="12">
        <v>1.02618234019763</v>
      </c>
    </row>
    <row r="32" spans="1:6">
      <c r="A32" s="13">
        <v>65</v>
      </c>
      <c r="B32" s="12">
        <v>1996</v>
      </c>
      <c r="C32" s="12">
        <v>31</v>
      </c>
      <c r="D32" s="12">
        <v>1.01028554062082</v>
      </c>
      <c r="E32" s="12">
        <v>1.00020756546375</v>
      </c>
      <c r="F32" s="12">
        <v>1.01007588375158</v>
      </c>
    </row>
    <row r="33" spans="1:6">
      <c r="A33" s="13">
        <v>66</v>
      </c>
      <c r="B33" s="12">
        <v>1996</v>
      </c>
      <c r="C33" s="12">
        <v>32</v>
      </c>
      <c r="D33" s="12">
        <v>1.00360224149837</v>
      </c>
      <c r="E33" s="12">
        <v>1.00060741130896</v>
      </c>
      <c r="F33" s="12">
        <v>1.00299301219995</v>
      </c>
    </row>
    <row r="34" spans="1:6">
      <c r="A34" s="13">
        <v>67</v>
      </c>
      <c r="B34" s="12">
        <v>1996</v>
      </c>
      <c r="C34" s="12">
        <v>33</v>
      </c>
      <c r="D34" s="12">
        <v>0.98570570337109</v>
      </c>
      <c r="E34" s="12">
        <v>0.994624216102122</v>
      </c>
      <c r="F34" s="12">
        <v>0.991033284142243</v>
      </c>
    </row>
    <row r="35" spans="1:6">
      <c r="A35" s="13">
        <v>68</v>
      </c>
      <c r="B35" s="12">
        <v>1996</v>
      </c>
      <c r="C35" s="12">
        <v>34</v>
      </c>
      <c r="D35" s="12">
        <v>0.992150543720901</v>
      </c>
      <c r="E35" s="12">
        <v>0.999138574878923</v>
      </c>
      <c r="F35" s="12">
        <v>0.993005943986429</v>
      </c>
    </row>
    <row r="36" spans="1:6">
      <c r="A36" s="13">
        <v>69</v>
      </c>
      <c r="B36" s="12">
        <v>1996</v>
      </c>
      <c r="C36" s="12">
        <v>35</v>
      </c>
      <c r="D36" s="12">
        <v>0.984169318572141</v>
      </c>
      <c r="E36" s="12">
        <v>0.998796628580856</v>
      </c>
      <c r="F36" s="12">
        <v>0.985355066697112</v>
      </c>
    </row>
    <row r="37" spans="1:6">
      <c r="A37" s="13">
        <v>70</v>
      </c>
      <c r="B37" s="12">
        <v>1997</v>
      </c>
      <c r="C37" s="12">
        <v>1</v>
      </c>
      <c r="D37" s="12">
        <v>0.998708831705849</v>
      </c>
      <c r="E37" s="12">
        <v>1.00667070223139</v>
      </c>
      <c r="F37" s="12">
        <v>0.992090888800192</v>
      </c>
    </row>
    <row r="38" spans="1:6">
      <c r="A38" s="13">
        <v>71</v>
      </c>
      <c r="B38" s="12">
        <v>1997</v>
      </c>
      <c r="C38" s="12">
        <v>2</v>
      </c>
      <c r="D38" s="12">
        <v>0.98966054380697</v>
      </c>
      <c r="E38" s="12">
        <v>0.985133223657606</v>
      </c>
      <c r="F38" s="12">
        <v>1.00459564253914</v>
      </c>
    </row>
    <row r="39" spans="1:6">
      <c r="A39" s="13">
        <v>72</v>
      </c>
      <c r="B39" s="12">
        <v>1997</v>
      </c>
      <c r="C39" s="12">
        <v>3</v>
      </c>
      <c r="D39" s="12">
        <v>0.982523140309568</v>
      </c>
      <c r="E39" s="12">
        <v>0.977585022992795</v>
      </c>
      <c r="F39" s="12">
        <v>1.00505134305521</v>
      </c>
    </row>
    <row r="40" spans="1:6">
      <c r="A40" s="13">
        <v>73</v>
      </c>
      <c r="B40" s="12">
        <v>1997</v>
      </c>
      <c r="C40" s="12">
        <v>4</v>
      </c>
      <c r="D40" s="12">
        <v>0.913868116249336</v>
      </c>
      <c r="E40" s="12">
        <v>0.855878818291441</v>
      </c>
      <c r="F40" s="12">
        <v>1.06775409873288</v>
      </c>
    </row>
    <row r="41" spans="1:6">
      <c r="A41" s="13">
        <v>74</v>
      </c>
      <c r="B41" s="12">
        <v>1997</v>
      </c>
      <c r="C41" s="12">
        <v>5</v>
      </c>
      <c r="D41" s="12">
        <v>0.986000155161032</v>
      </c>
      <c r="E41" s="12">
        <v>0.991223336961044</v>
      </c>
      <c r="F41" s="12">
        <v>0.99473057019014</v>
      </c>
    </row>
    <row r="42" spans="1:6">
      <c r="A42" s="13">
        <v>75</v>
      </c>
      <c r="B42" s="12">
        <v>1997</v>
      </c>
      <c r="C42" s="12">
        <v>6</v>
      </c>
      <c r="D42" s="12">
        <v>1.01232368992508</v>
      </c>
      <c r="E42" s="12">
        <v>1.0145654954791</v>
      </c>
      <c r="F42" s="12">
        <v>0.997790378675393</v>
      </c>
    </row>
    <row r="43" spans="1:6">
      <c r="A43" s="13">
        <v>76</v>
      </c>
      <c r="B43" s="12">
        <v>1997</v>
      </c>
      <c r="C43" s="12">
        <v>7</v>
      </c>
      <c r="D43" s="12">
        <v>1.00069988518631</v>
      </c>
      <c r="E43" s="12">
        <v>0.986381690889206</v>
      </c>
      <c r="F43" s="12">
        <v>1.01451587598326</v>
      </c>
    </row>
    <row r="44" spans="1:6">
      <c r="A44" s="13">
        <v>77</v>
      </c>
      <c r="B44" s="12">
        <v>1997</v>
      </c>
      <c r="C44" s="12">
        <v>8</v>
      </c>
      <c r="D44" s="12">
        <v>0.998888146842471</v>
      </c>
      <c r="E44" s="12">
        <v>0.99997297444659</v>
      </c>
      <c r="F44" s="12">
        <v>0.998915143077022</v>
      </c>
    </row>
    <row r="45" spans="1:6">
      <c r="A45" s="13">
        <v>78</v>
      </c>
      <c r="B45" s="12">
        <v>1997</v>
      </c>
      <c r="C45" s="12">
        <v>9</v>
      </c>
      <c r="D45" s="12">
        <v>0.991385915791681</v>
      </c>
      <c r="E45" s="12">
        <v>0.979841320345285</v>
      </c>
      <c r="F45" s="12">
        <v>1.0117821071705</v>
      </c>
    </row>
    <row r="46" spans="1:6">
      <c r="A46" s="13">
        <v>79</v>
      </c>
      <c r="B46" s="12">
        <v>1997</v>
      </c>
      <c r="C46" s="12">
        <v>10</v>
      </c>
      <c r="D46" s="12">
        <v>0.990933003489337</v>
      </c>
      <c r="E46" s="12">
        <v>0.997919279730822</v>
      </c>
      <c r="F46" s="12">
        <v>0.992999156962506</v>
      </c>
    </row>
    <row r="47" spans="1:6">
      <c r="A47" s="13">
        <v>80</v>
      </c>
      <c r="B47" s="12">
        <v>1997</v>
      </c>
      <c r="C47" s="12">
        <v>11</v>
      </c>
      <c r="D47" s="12">
        <v>0.960359144411557</v>
      </c>
      <c r="E47" s="12">
        <v>0.964370719995393</v>
      </c>
      <c r="F47" s="12">
        <v>0.995840214244731</v>
      </c>
    </row>
    <row r="48" spans="1:6">
      <c r="A48" s="13">
        <v>81</v>
      </c>
      <c r="B48" s="12">
        <v>1997</v>
      </c>
      <c r="C48" s="12">
        <v>12</v>
      </c>
      <c r="D48" s="12">
        <v>0.995591860262972</v>
      </c>
      <c r="E48" s="12">
        <v>0.996882795336223</v>
      </c>
      <c r="F48" s="12">
        <v>0.998705028234723</v>
      </c>
    </row>
    <row r="49" spans="1:6">
      <c r="A49" s="13">
        <v>82</v>
      </c>
      <c r="B49" s="12">
        <v>1997</v>
      </c>
      <c r="C49" s="12">
        <v>13</v>
      </c>
      <c r="D49" s="12">
        <v>1.00001508563587</v>
      </c>
      <c r="E49" s="12">
        <v>1.00031728058315</v>
      </c>
      <c r="F49" s="12">
        <v>0.999697900902896</v>
      </c>
    </row>
    <row r="50" spans="1:6">
      <c r="A50" s="13">
        <v>83</v>
      </c>
      <c r="B50" s="12">
        <v>1997</v>
      </c>
      <c r="C50" s="12">
        <v>14</v>
      </c>
      <c r="D50" s="12">
        <v>0.999999959948518</v>
      </c>
      <c r="E50" s="12">
        <v>0.999224225215251</v>
      </c>
      <c r="F50" s="12">
        <v>1.00077633699593</v>
      </c>
    </row>
    <row r="51" spans="1:6">
      <c r="A51" s="13">
        <v>84</v>
      </c>
      <c r="B51" s="12">
        <v>1997</v>
      </c>
      <c r="C51" s="12">
        <v>15</v>
      </c>
      <c r="D51" s="12">
        <v>0.998324855598869</v>
      </c>
      <c r="E51" s="12">
        <v>0.997654860179724</v>
      </c>
      <c r="F51" s="12">
        <v>1.0006715703455</v>
      </c>
    </row>
    <row r="52" spans="1:6">
      <c r="A52" s="13">
        <v>85</v>
      </c>
      <c r="B52" s="12">
        <v>1997</v>
      </c>
      <c r="C52" s="12">
        <v>16</v>
      </c>
      <c r="D52" s="12">
        <v>0.992649315036261</v>
      </c>
      <c r="E52" s="12">
        <v>0.997124922403408</v>
      </c>
      <c r="F52" s="12">
        <v>0.995511487812019</v>
      </c>
    </row>
    <row r="53" spans="1:6">
      <c r="A53" s="13">
        <v>86</v>
      </c>
      <c r="B53" s="12">
        <v>1997</v>
      </c>
      <c r="C53" s="12">
        <v>17</v>
      </c>
      <c r="D53" s="12">
        <v>0.986539225331483</v>
      </c>
      <c r="E53" s="12">
        <v>0.988690621032789</v>
      </c>
      <c r="F53" s="12">
        <v>0.997823995033898</v>
      </c>
    </row>
    <row r="54" spans="1:6">
      <c r="A54" s="13">
        <v>87</v>
      </c>
      <c r="B54" s="12">
        <v>1997</v>
      </c>
      <c r="C54" s="12">
        <v>18</v>
      </c>
      <c r="D54" s="12">
        <v>0.939830878765476</v>
      </c>
      <c r="E54" s="12">
        <v>0.999077199931426</v>
      </c>
      <c r="F54" s="12">
        <v>0.940698955826421</v>
      </c>
    </row>
    <row r="55" spans="1:6">
      <c r="A55" s="13">
        <v>88</v>
      </c>
      <c r="B55" s="12">
        <v>1997</v>
      </c>
      <c r="C55" s="12">
        <v>19</v>
      </c>
      <c r="D55" s="12">
        <v>0.95969031340205</v>
      </c>
      <c r="E55" s="12">
        <v>0.970770096243401</v>
      </c>
      <c r="F55" s="12">
        <v>0.98858660471287</v>
      </c>
    </row>
    <row r="56" spans="1:6">
      <c r="A56" s="13">
        <v>89</v>
      </c>
      <c r="B56" s="12">
        <v>1997</v>
      </c>
      <c r="C56" s="12">
        <v>20</v>
      </c>
      <c r="D56" s="12">
        <v>0.999285347704677</v>
      </c>
      <c r="E56" s="12">
        <v>0.999866594802228</v>
      </c>
      <c r="F56" s="12">
        <v>0.99941867535072</v>
      </c>
    </row>
    <row r="57" spans="1:6">
      <c r="A57" s="13">
        <v>90</v>
      </c>
      <c r="B57" s="12">
        <v>1997</v>
      </c>
      <c r="C57" s="12">
        <v>21</v>
      </c>
      <c r="D57" s="12">
        <v>1.00215209490552</v>
      </c>
      <c r="E57" s="12">
        <v>0.999815914502617</v>
      </c>
      <c r="F57" s="12">
        <v>1.00233661053902</v>
      </c>
    </row>
    <row r="58" spans="1:6">
      <c r="A58" s="13">
        <v>91</v>
      </c>
      <c r="B58" s="12">
        <v>1997</v>
      </c>
      <c r="C58" s="12">
        <v>22</v>
      </c>
      <c r="D58" s="12">
        <v>0.978555888365206</v>
      </c>
      <c r="E58" s="12">
        <v>0.895094882492476</v>
      </c>
      <c r="F58" s="12">
        <v>1.09324263550734</v>
      </c>
    </row>
    <row r="59" spans="1:6">
      <c r="A59" s="13">
        <v>92</v>
      </c>
      <c r="B59" s="12">
        <v>1997</v>
      </c>
      <c r="C59" s="12">
        <v>23</v>
      </c>
      <c r="D59" s="12">
        <v>0.994250287111055</v>
      </c>
      <c r="E59" s="12">
        <v>0.980661677579517</v>
      </c>
      <c r="F59" s="12">
        <v>1.01385657239618</v>
      </c>
    </row>
    <row r="60" spans="1:6">
      <c r="A60" s="13">
        <v>93</v>
      </c>
      <c r="B60" s="12">
        <v>1997</v>
      </c>
      <c r="C60" s="12">
        <v>24</v>
      </c>
      <c r="D60" s="12">
        <v>0.999098670781527</v>
      </c>
      <c r="E60" s="12">
        <v>0.996712106165858</v>
      </c>
      <c r="F60" s="12">
        <v>1.00239443727121</v>
      </c>
    </row>
    <row r="61" spans="1:6">
      <c r="A61" s="13">
        <v>94</v>
      </c>
      <c r="B61" s="12">
        <v>1997</v>
      </c>
      <c r="C61" s="12">
        <v>25</v>
      </c>
      <c r="D61" s="12">
        <v>0.985698338367415</v>
      </c>
      <c r="E61" s="12">
        <v>0.989871182378275</v>
      </c>
      <c r="F61" s="12">
        <v>0.995784457528267</v>
      </c>
    </row>
    <row r="62" spans="1:6">
      <c r="A62" s="13">
        <v>95</v>
      </c>
      <c r="B62" s="12">
        <v>1997</v>
      </c>
      <c r="C62" s="12">
        <v>26</v>
      </c>
      <c r="D62" s="12">
        <v>0.982217570847229</v>
      </c>
      <c r="E62" s="12">
        <v>0.908319840726134</v>
      </c>
      <c r="F62" s="12">
        <v>1.0813565077055</v>
      </c>
    </row>
    <row r="63" spans="1:6">
      <c r="A63" s="13">
        <v>96</v>
      </c>
      <c r="B63" s="12">
        <v>1997</v>
      </c>
      <c r="C63" s="12">
        <v>27</v>
      </c>
      <c r="D63" s="12">
        <v>0.996770170580808</v>
      </c>
      <c r="E63" s="12">
        <v>0.991922368349114</v>
      </c>
      <c r="F63" s="12">
        <v>1.00488727987833</v>
      </c>
    </row>
    <row r="64" spans="1:6">
      <c r="A64" s="13">
        <v>97</v>
      </c>
      <c r="B64" s="12">
        <v>1997</v>
      </c>
      <c r="C64" s="12">
        <v>28</v>
      </c>
      <c r="D64" s="12">
        <v>1.00155069353838</v>
      </c>
      <c r="E64" s="12">
        <v>1.00280865573483</v>
      </c>
      <c r="F64" s="12">
        <v>0.998745561090586</v>
      </c>
    </row>
    <row r="65" spans="1:6">
      <c r="A65" s="13">
        <v>98</v>
      </c>
      <c r="B65" s="12">
        <v>1997</v>
      </c>
      <c r="C65" s="12">
        <v>29</v>
      </c>
      <c r="D65" s="12">
        <v>0.99915800477066</v>
      </c>
      <c r="E65" s="12">
        <v>0.997653932853777</v>
      </c>
      <c r="F65" s="12">
        <v>1.00150760886852</v>
      </c>
    </row>
    <row r="66" spans="1:6">
      <c r="A66" s="13">
        <v>99</v>
      </c>
      <c r="B66" s="12">
        <v>1997</v>
      </c>
      <c r="C66" s="12">
        <v>30</v>
      </c>
      <c r="D66" s="12">
        <v>0.982701778421938</v>
      </c>
      <c r="E66" s="12">
        <v>0.972604607706097</v>
      </c>
      <c r="F66" s="12">
        <v>1.0103815781211</v>
      </c>
    </row>
    <row r="67" spans="1:6">
      <c r="A67" s="13">
        <v>100</v>
      </c>
      <c r="B67" s="12">
        <v>1997</v>
      </c>
      <c r="C67" s="12">
        <v>31</v>
      </c>
      <c r="D67" s="12">
        <v>0.996621473029395</v>
      </c>
      <c r="E67" s="12">
        <v>1.00010086134032</v>
      </c>
      <c r="F67" s="12">
        <v>0.996520962589451</v>
      </c>
    </row>
    <row r="68" spans="1:6">
      <c r="A68" s="13">
        <v>101</v>
      </c>
      <c r="B68" s="12">
        <v>1997</v>
      </c>
      <c r="C68" s="12">
        <v>32</v>
      </c>
      <c r="D68" s="12">
        <v>1.00319631916627</v>
      </c>
      <c r="E68" s="12">
        <v>0.999795004346246</v>
      </c>
      <c r="F68" s="12">
        <v>1.00340201221775</v>
      </c>
    </row>
    <row r="69" spans="1:6">
      <c r="A69" s="13">
        <v>102</v>
      </c>
      <c r="B69" s="12">
        <v>1997</v>
      </c>
      <c r="C69" s="12">
        <v>33</v>
      </c>
      <c r="D69" s="12">
        <v>0.988002144771836</v>
      </c>
      <c r="E69" s="12">
        <v>0.988173340807542</v>
      </c>
      <c r="F69" s="12">
        <v>0.999826755055377</v>
      </c>
    </row>
    <row r="70" spans="1:6">
      <c r="A70" s="13">
        <v>103</v>
      </c>
      <c r="B70" s="12">
        <v>1997</v>
      </c>
      <c r="C70" s="12">
        <v>34</v>
      </c>
      <c r="D70" s="12">
        <v>1.05667853941919</v>
      </c>
      <c r="E70" s="12">
        <v>1.0013938371934</v>
      </c>
      <c r="F70" s="12">
        <v>1.05520775160824</v>
      </c>
    </row>
    <row r="71" spans="1:6">
      <c r="A71" s="13">
        <v>104</v>
      </c>
      <c r="B71" s="12">
        <v>1997</v>
      </c>
      <c r="C71" s="12">
        <v>35</v>
      </c>
      <c r="D71" s="12">
        <v>0.972756644966778</v>
      </c>
      <c r="E71" s="12">
        <v>0.997622641692227</v>
      </c>
      <c r="F71" s="12">
        <v>0.9750747470173</v>
      </c>
    </row>
    <row r="72" spans="1:6">
      <c r="A72" s="13">
        <v>105</v>
      </c>
      <c r="B72" s="12">
        <v>1998</v>
      </c>
      <c r="C72" s="12">
        <v>1</v>
      </c>
      <c r="D72" s="12">
        <v>0.984967501549618</v>
      </c>
      <c r="E72" s="12">
        <v>0.974931147319913</v>
      </c>
      <c r="F72" s="12">
        <v>1.01029442361883</v>
      </c>
    </row>
    <row r="73" spans="1:6">
      <c r="A73" s="13">
        <v>106</v>
      </c>
      <c r="B73" s="12">
        <v>1998</v>
      </c>
      <c r="C73" s="12">
        <v>2</v>
      </c>
      <c r="D73" s="12">
        <v>0.999836990091741</v>
      </c>
      <c r="E73" s="12">
        <v>1.00692070320659</v>
      </c>
      <c r="F73" s="12">
        <v>0.992964974210685</v>
      </c>
    </row>
    <row r="74" spans="1:6">
      <c r="A74" s="13">
        <v>107</v>
      </c>
      <c r="B74" s="12">
        <v>1998</v>
      </c>
      <c r="C74" s="12">
        <v>3</v>
      </c>
      <c r="D74" s="12">
        <v>0.998675749682492</v>
      </c>
      <c r="E74" s="12">
        <v>0.999773267120526</v>
      </c>
      <c r="F74" s="12">
        <v>0.998902233662243</v>
      </c>
    </row>
    <row r="75" spans="1:6">
      <c r="A75" s="13">
        <v>108</v>
      </c>
      <c r="B75" s="12">
        <v>1998</v>
      </c>
      <c r="C75" s="12">
        <v>4</v>
      </c>
      <c r="D75" s="12">
        <v>0.999698621508415</v>
      </c>
      <c r="E75" s="12">
        <v>1.03498496911264</v>
      </c>
      <c r="F75" s="12">
        <v>0.965906415399944</v>
      </c>
    </row>
    <row r="76" spans="1:6">
      <c r="A76" s="13">
        <v>109</v>
      </c>
      <c r="B76" s="12">
        <v>1998</v>
      </c>
      <c r="C76" s="12">
        <v>5</v>
      </c>
      <c r="D76" s="12">
        <v>0.999077092734428</v>
      </c>
      <c r="E76" s="12">
        <v>1.00317100448523</v>
      </c>
      <c r="F76" s="12">
        <v>0.995919029026461</v>
      </c>
    </row>
    <row r="77" spans="1:6">
      <c r="A77" s="13">
        <v>110</v>
      </c>
      <c r="B77" s="12">
        <v>1998</v>
      </c>
      <c r="C77" s="12">
        <v>6</v>
      </c>
      <c r="D77" s="12">
        <v>1.0065009049778</v>
      </c>
      <c r="E77" s="12">
        <v>1.01311312681689</v>
      </c>
      <c r="F77" s="12">
        <v>0.993473362782431</v>
      </c>
    </row>
    <row r="78" spans="1:6">
      <c r="A78" s="13">
        <v>111</v>
      </c>
      <c r="B78" s="12">
        <v>1998</v>
      </c>
      <c r="C78" s="12">
        <v>7</v>
      </c>
      <c r="D78" s="12">
        <v>1.00257203504262</v>
      </c>
      <c r="E78" s="12">
        <v>1.00273089637727</v>
      </c>
      <c r="F78" s="12">
        <v>0.999841571317667</v>
      </c>
    </row>
    <row r="79" spans="1:6">
      <c r="A79" s="13">
        <v>112</v>
      </c>
      <c r="B79" s="12">
        <v>1998</v>
      </c>
      <c r="C79" s="12">
        <v>8</v>
      </c>
      <c r="D79" s="12">
        <v>1.00104475423751</v>
      </c>
      <c r="E79" s="12">
        <v>1.00000510232675</v>
      </c>
      <c r="F79" s="12">
        <v>1.00103964660615</v>
      </c>
    </row>
    <row r="80" spans="1:6">
      <c r="A80" s="13">
        <v>113</v>
      </c>
      <c r="B80" s="12">
        <v>1998</v>
      </c>
      <c r="C80" s="12">
        <v>9</v>
      </c>
      <c r="D80" s="12">
        <v>0.995206785973895</v>
      </c>
      <c r="E80" s="12">
        <v>0.995542507960715</v>
      </c>
      <c r="F80" s="12">
        <v>0.99966277483469</v>
      </c>
    </row>
    <row r="81" spans="1:6">
      <c r="A81" s="13">
        <v>114</v>
      </c>
      <c r="B81" s="12">
        <v>1998</v>
      </c>
      <c r="C81" s="12">
        <v>10</v>
      </c>
      <c r="D81" s="12">
        <v>0.960901912812163</v>
      </c>
      <c r="E81" s="12">
        <v>0.998289719736374</v>
      </c>
      <c r="F81" s="12">
        <v>0.962548139898621</v>
      </c>
    </row>
    <row r="82" spans="1:6">
      <c r="A82" s="13">
        <v>115</v>
      </c>
      <c r="B82" s="12">
        <v>1998</v>
      </c>
      <c r="C82" s="12">
        <v>11</v>
      </c>
      <c r="D82" s="12">
        <v>0.987476667280646</v>
      </c>
      <c r="E82" s="12">
        <v>0.983436521298256</v>
      </c>
      <c r="F82" s="12">
        <v>1.00410819193196</v>
      </c>
    </row>
    <row r="83" spans="1:6">
      <c r="A83" s="13">
        <v>116</v>
      </c>
      <c r="B83" s="12">
        <v>1998</v>
      </c>
      <c r="C83" s="12">
        <v>12</v>
      </c>
      <c r="D83" s="12">
        <v>0.991760725187247</v>
      </c>
      <c r="E83" s="12">
        <v>0.989311480969086</v>
      </c>
      <c r="F83" s="12">
        <v>1.00247570584722</v>
      </c>
    </row>
    <row r="84" spans="1:6">
      <c r="A84" s="13">
        <v>117</v>
      </c>
      <c r="B84" s="12">
        <v>1998</v>
      </c>
      <c r="C84" s="12">
        <v>13</v>
      </c>
      <c r="D84" s="12">
        <v>0.995169713635106</v>
      </c>
      <c r="E84" s="12">
        <v>0.997228005268487</v>
      </c>
      <c r="F84" s="12">
        <v>0.997935986933272</v>
      </c>
    </row>
    <row r="85" spans="1:6">
      <c r="A85" s="13">
        <v>118</v>
      </c>
      <c r="B85" s="12">
        <v>1998</v>
      </c>
      <c r="C85" s="12">
        <v>14</v>
      </c>
      <c r="D85" s="12">
        <v>0.994933564641859</v>
      </c>
      <c r="E85" s="12">
        <v>0.999480632845266</v>
      </c>
      <c r="F85" s="12">
        <v>0.995450568971545</v>
      </c>
    </row>
    <row r="86" spans="1:6">
      <c r="A86" s="13">
        <v>119</v>
      </c>
      <c r="B86" s="12">
        <v>1998</v>
      </c>
      <c r="C86" s="12">
        <v>15</v>
      </c>
      <c r="D86" s="12">
        <v>0.995823222187231</v>
      </c>
      <c r="E86" s="12">
        <v>0.997149652792792</v>
      </c>
      <c r="F86" s="12">
        <v>0.998669777799304</v>
      </c>
    </row>
    <row r="87" spans="1:6">
      <c r="A87" s="13">
        <v>120</v>
      </c>
      <c r="B87" s="12">
        <v>1998</v>
      </c>
      <c r="C87" s="12">
        <v>16</v>
      </c>
      <c r="D87" s="12">
        <v>0.995920850352402</v>
      </c>
      <c r="E87" s="12">
        <v>1.00360611177087</v>
      </c>
      <c r="F87" s="12">
        <v>0.992342352912826</v>
      </c>
    </row>
    <row r="88" spans="1:6">
      <c r="A88" s="13">
        <v>121</v>
      </c>
      <c r="B88" s="12">
        <v>1998</v>
      </c>
      <c r="C88" s="12">
        <v>17</v>
      </c>
      <c r="D88" s="12">
        <v>0.992797115242629</v>
      </c>
      <c r="E88" s="12">
        <v>0.993845466422293</v>
      </c>
      <c r="F88" s="12">
        <v>0.998945156752148</v>
      </c>
    </row>
    <row r="89" spans="1:6">
      <c r="A89" s="13">
        <v>122</v>
      </c>
      <c r="B89" s="12">
        <v>1998</v>
      </c>
      <c r="C89" s="12">
        <v>18</v>
      </c>
      <c r="D89" s="12">
        <v>0.983029656803584</v>
      </c>
      <c r="E89" s="12">
        <v>0.998724914592316</v>
      </c>
      <c r="F89" s="12">
        <v>0.98428470386649</v>
      </c>
    </row>
    <row r="90" spans="1:6">
      <c r="A90" s="13">
        <v>123</v>
      </c>
      <c r="B90" s="12">
        <v>1998</v>
      </c>
      <c r="C90" s="12">
        <v>19</v>
      </c>
      <c r="D90" s="12">
        <v>1.0807863549519</v>
      </c>
      <c r="E90" s="12">
        <v>1.02171908731749</v>
      </c>
      <c r="F90" s="12">
        <v>1.05781165133118</v>
      </c>
    </row>
    <row r="91" spans="1:6">
      <c r="A91" s="13">
        <v>124</v>
      </c>
      <c r="B91" s="12">
        <v>1998</v>
      </c>
      <c r="C91" s="12">
        <v>20</v>
      </c>
      <c r="D91" s="12">
        <v>0.997331098356187</v>
      </c>
      <c r="E91" s="12">
        <v>0.999873713747902</v>
      </c>
      <c r="F91" s="12">
        <v>0.997457063470362</v>
      </c>
    </row>
    <row r="92" spans="1:6">
      <c r="A92" s="13">
        <v>125</v>
      </c>
      <c r="B92" s="12">
        <v>1998</v>
      </c>
      <c r="C92" s="12">
        <v>21</v>
      </c>
      <c r="D92" s="12">
        <v>1.00182359833817</v>
      </c>
      <c r="E92" s="12">
        <v>0.999936762379286</v>
      </c>
      <c r="F92" s="12">
        <v>1.00188695528545</v>
      </c>
    </row>
    <row r="93" spans="1:6">
      <c r="A93" s="13">
        <v>126</v>
      </c>
      <c r="B93" s="12">
        <v>1998</v>
      </c>
      <c r="C93" s="12">
        <v>22</v>
      </c>
      <c r="D93" s="12">
        <v>0.963101142812118</v>
      </c>
      <c r="E93" s="12">
        <v>0.979199988913984</v>
      </c>
      <c r="F93" s="12">
        <v>0.983559184758855</v>
      </c>
    </row>
    <row r="94" spans="1:6">
      <c r="A94" s="13">
        <v>127</v>
      </c>
      <c r="B94" s="12">
        <v>1998</v>
      </c>
      <c r="C94" s="12">
        <v>23</v>
      </c>
      <c r="D94" s="12">
        <v>0.99697326664233</v>
      </c>
      <c r="E94" s="12">
        <v>1.00600108732353</v>
      </c>
      <c r="F94" s="12">
        <v>0.991026032879134</v>
      </c>
    </row>
    <row r="95" spans="1:6">
      <c r="A95" s="13">
        <v>128</v>
      </c>
      <c r="B95" s="12">
        <v>1998</v>
      </c>
      <c r="C95" s="12">
        <v>24</v>
      </c>
      <c r="D95" s="12">
        <v>1.00158437919364</v>
      </c>
      <c r="E95" s="12">
        <v>1.00822527230869</v>
      </c>
      <c r="F95" s="12">
        <v>0.993413284414255</v>
      </c>
    </row>
    <row r="96" spans="1:6">
      <c r="A96" s="13">
        <v>129</v>
      </c>
      <c r="B96" s="12">
        <v>1998</v>
      </c>
      <c r="C96" s="12">
        <v>25</v>
      </c>
      <c r="D96" s="12">
        <v>0.98808808157364</v>
      </c>
      <c r="E96" s="12">
        <v>0.961603166971843</v>
      </c>
      <c r="F96" s="12">
        <v>1.02754245775334</v>
      </c>
    </row>
    <row r="97" spans="1:6">
      <c r="A97" s="13">
        <v>130</v>
      </c>
      <c r="B97" s="12">
        <v>1998</v>
      </c>
      <c r="C97" s="12">
        <v>26</v>
      </c>
      <c r="D97" s="12">
        <v>0.992910796142796</v>
      </c>
      <c r="E97" s="12">
        <v>0.973336883665508</v>
      </c>
      <c r="F97" s="12">
        <v>1.02011011069834</v>
      </c>
    </row>
    <row r="98" spans="1:6">
      <c r="A98" s="13">
        <v>131</v>
      </c>
      <c r="B98" s="12">
        <v>1998</v>
      </c>
      <c r="C98" s="12">
        <v>27</v>
      </c>
      <c r="D98" s="12">
        <v>0.990561546948696</v>
      </c>
      <c r="E98" s="12">
        <v>0.994769930039676</v>
      </c>
      <c r="F98" s="12">
        <v>0.995769491051251</v>
      </c>
    </row>
    <row r="99" spans="1:6">
      <c r="A99" s="13">
        <v>132</v>
      </c>
      <c r="B99" s="12">
        <v>1998</v>
      </c>
      <c r="C99" s="12">
        <v>28</v>
      </c>
      <c r="D99" s="12">
        <v>0.998817040697864</v>
      </c>
      <c r="E99" s="12">
        <v>1.0017902381359</v>
      </c>
      <c r="F99" s="12">
        <v>0.997032115781473</v>
      </c>
    </row>
    <row r="100" spans="1:6">
      <c r="A100" s="13">
        <v>133</v>
      </c>
      <c r="B100" s="12">
        <v>1998</v>
      </c>
      <c r="C100" s="12">
        <v>29</v>
      </c>
      <c r="D100" s="12">
        <v>0.999726164063296</v>
      </c>
      <c r="E100" s="12">
        <v>1.0013790572106</v>
      </c>
      <c r="F100" s="12">
        <v>0.998349383147763</v>
      </c>
    </row>
    <row r="101" spans="1:6">
      <c r="A101" s="13">
        <v>134</v>
      </c>
      <c r="B101" s="12">
        <v>1998</v>
      </c>
      <c r="C101" s="12">
        <v>30</v>
      </c>
      <c r="D101" s="12">
        <v>0.967473726535342</v>
      </c>
      <c r="E101" s="12">
        <v>0.983306183755066</v>
      </c>
      <c r="F101" s="12">
        <v>0.983898751496444</v>
      </c>
    </row>
    <row r="102" spans="1:6">
      <c r="A102" s="13">
        <v>135</v>
      </c>
      <c r="B102" s="12">
        <v>1998</v>
      </c>
      <c r="C102" s="12">
        <v>31</v>
      </c>
      <c r="D102" s="12">
        <v>0.977167509068613</v>
      </c>
      <c r="E102" s="12">
        <v>0.999903713600487</v>
      </c>
      <c r="F102" s="12">
        <v>0.977261606070044</v>
      </c>
    </row>
    <row r="103" spans="1:6">
      <c r="A103" s="13">
        <v>136</v>
      </c>
      <c r="B103" s="12">
        <v>1998</v>
      </c>
      <c r="C103" s="12">
        <v>32</v>
      </c>
      <c r="D103" s="12">
        <v>0.995133677259199</v>
      </c>
      <c r="E103" s="12">
        <v>0.999847055677999</v>
      </c>
      <c r="F103" s="12">
        <v>0.995285900586461</v>
      </c>
    </row>
    <row r="104" spans="1:6">
      <c r="A104" s="13">
        <v>137</v>
      </c>
      <c r="B104" s="12">
        <v>1998</v>
      </c>
      <c r="C104" s="12">
        <v>33</v>
      </c>
      <c r="D104" s="12">
        <v>1.01039522570146</v>
      </c>
      <c r="E104" s="12">
        <v>1.04418462519491</v>
      </c>
      <c r="F104" s="12">
        <v>0.967640397418087</v>
      </c>
    </row>
    <row r="105" spans="1:6">
      <c r="A105" s="13">
        <v>138</v>
      </c>
      <c r="B105" s="12">
        <v>1998</v>
      </c>
      <c r="C105" s="12">
        <v>34</v>
      </c>
      <c r="D105" s="12">
        <v>0.986747991495533</v>
      </c>
      <c r="E105" s="12">
        <v>0.999897763391572</v>
      </c>
      <c r="F105" s="12">
        <v>0.986848883578421</v>
      </c>
    </row>
    <row r="106" spans="1:6">
      <c r="A106" s="13">
        <v>139</v>
      </c>
      <c r="B106" s="12">
        <v>1998</v>
      </c>
      <c r="C106" s="12">
        <v>35</v>
      </c>
      <c r="D106" s="12">
        <v>0.97985716375908</v>
      </c>
      <c r="E106" s="12">
        <v>0.998829164518304</v>
      </c>
      <c r="F106" s="12">
        <v>0.981005760110766</v>
      </c>
    </row>
    <row r="107" spans="1:6">
      <c r="A107" s="13">
        <v>140</v>
      </c>
      <c r="B107" s="12">
        <v>1999</v>
      </c>
      <c r="C107" s="12">
        <v>1</v>
      </c>
      <c r="D107" s="12">
        <v>0.985001077701097</v>
      </c>
      <c r="E107" s="12">
        <v>0.977941370853056</v>
      </c>
      <c r="F107" s="12">
        <v>1.007218946921</v>
      </c>
    </row>
    <row r="108" spans="1:6">
      <c r="A108" s="13">
        <v>141</v>
      </c>
      <c r="B108" s="12">
        <v>1999</v>
      </c>
      <c r="C108" s="12">
        <v>2</v>
      </c>
      <c r="D108" s="12">
        <v>0.997151842665836</v>
      </c>
      <c r="E108" s="12">
        <v>0.99647913841558</v>
      </c>
      <c r="F108" s="12">
        <v>1.00067508111743</v>
      </c>
    </row>
    <row r="109" spans="1:6">
      <c r="A109" s="13">
        <v>142</v>
      </c>
      <c r="B109" s="12">
        <v>1999</v>
      </c>
      <c r="C109" s="12">
        <v>3</v>
      </c>
      <c r="D109" s="12">
        <v>0.995281466436791</v>
      </c>
      <c r="E109" s="12">
        <v>0.978114035503061</v>
      </c>
      <c r="F109" s="12">
        <v>1.01755156383673</v>
      </c>
    </row>
    <row r="110" spans="1:6">
      <c r="A110" s="13">
        <v>143</v>
      </c>
      <c r="B110" s="12">
        <v>1999</v>
      </c>
      <c r="C110" s="12">
        <v>4</v>
      </c>
      <c r="D110" s="12">
        <v>1.01930022909929</v>
      </c>
      <c r="E110" s="12">
        <v>1.00544523739596</v>
      </c>
      <c r="F110" s="12">
        <v>1.01377995656851</v>
      </c>
    </row>
    <row r="111" spans="1:6">
      <c r="A111" s="13">
        <v>144</v>
      </c>
      <c r="B111" s="12">
        <v>1999</v>
      </c>
      <c r="C111" s="12">
        <v>5</v>
      </c>
      <c r="D111" s="12">
        <v>0.99811574552812</v>
      </c>
      <c r="E111" s="12">
        <v>0.998335489550447</v>
      </c>
      <c r="F111" s="12">
        <v>0.999779889601615</v>
      </c>
    </row>
    <row r="112" spans="1:6">
      <c r="A112" s="13">
        <v>145</v>
      </c>
      <c r="B112" s="12">
        <v>1999</v>
      </c>
      <c r="C112" s="12">
        <v>6</v>
      </c>
      <c r="D112" s="12">
        <v>1.00802012166477</v>
      </c>
      <c r="E112" s="12">
        <v>1.00495223197162</v>
      </c>
      <c r="F112" s="12">
        <v>1.00305277165973</v>
      </c>
    </row>
    <row r="113" spans="1:6">
      <c r="A113" s="13">
        <v>146</v>
      </c>
      <c r="B113" s="12">
        <v>1999</v>
      </c>
      <c r="C113" s="12">
        <v>7</v>
      </c>
      <c r="D113" s="12">
        <v>1.00402615959021</v>
      </c>
      <c r="E113" s="12">
        <v>1.00789246791911</v>
      </c>
      <c r="F113" s="12">
        <v>0.99616396743506</v>
      </c>
    </row>
    <row r="114" spans="1:6">
      <c r="A114" s="13">
        <v>147</v>
      </c>
      <c r="B114" s="12">
        <v>1999</v>
      </c>
      <c r="C114" s="12">
        <v>8</v>
      </c>
      <c r="D114" s="12">
        <v>1.00195553493654</v>
      </c>
      <c r="E114" s="12">
        <v>1.00000371956791</v>
      </c>
      <c r="F114" s="12">
        <v>1.00195180810874</v>
      </c>
    </row>
    <row r="115" spans="1:6">
      <c r="A115" s="13">
        <v>148</v>
      </c>
      <c r="B115" s="12">
        <v>1999</v>
      </c>
      <c r="C115" s="12">
        <v>9</v>
      </c>
      <c r="D115" s="12">
        <v>1.0022276852464</v>
      </c>
      <c r="E115" s="12">
        <v>1.00167988923993</v>
      </c>
      <c r="F115" s="12">
        <v>1.00054687731316</v>
      </c>
    </row>
    <row r="116" spans="1:6">
      <c r="A116" s="13">
        <v>149</v>
      </c>
      <c r="B116" s="12">
        <v>1999</v>
      </c>
      <c r="C116" s="12">
        <v>10</v>
      </c>
      <c r="D116" s="12">
        <v>0.97744990058887</v>
      </c>
      <c r="E116" s="12">
        <v>0.998913081476644</v>
      </c>
      <c r="F116" s="12">
        <v>0.978513464999331</v>
      </c>
    </row>
    <row r="117" spans="1:6">
      <c r="A117" s="13">
        <v>150</v>
      </c>
      <c r="B117" s="12">
        <v>1999</v>
      </c>
      <c r="C117" s="12">
        <v>11</v>
      </c>
      <c r="D117" s="12">
        <v>1.000816031232</v>
      </c>
      <c r="E117" s="12">
        <v>0.961875561611624</v>
      </c>
      <c r="F117" s="12">
        <v>1.04048389539613</v>
      </c>
    </row>
    <row r="118" spans="1:6">
      <c r="A118" s="13">
        <v>151</v>
      </c>
      <c r="B118" s="12">
        <v>1999</v>
      </c>
      <c r="C118" s="12">
        <v>12</v>
      </c>
      <c r="D118" s="12">
        <v>0.999567546482898</v>
      </c>
      <c r="E118" s="12">
        <v>0.995893149587845</v>
      </c>
      <c r="F118" s="12">
        <v>1.00368954932221</v>
      </c>
    </row>
    <row r="119" spans="1:6">
      <c r="A119" s="13">
        <v>152</v>
      </c>
      <c r="B119" s="12">
        <v>1999</v>
      </c>
      <c r="C119" s="12">
        <v>13</v>
      </c>
      <c r="D119" s="12">
        <v>1.00245983592425</v>
      </c>
      <c r="E119" s="12">
        <v>1.00021615044847</v>
      </c>
      <c r="F119" s="12">
        <v>1.00224320060696</v>
      </c>
    </row>
    <row r="120" spans="1:6">
      <c r="A120" s="13">
        <v>153</v>
      </c>
      <c r="B120" s="12">
        <v>1999</v>
      </c>
      <c r="C120" s="12">
        <v>14</v>
      </c>
      <c r="D120" s="12">
        <v>0.99745432354503</v>
      </c>
      <c r="E120" s="12">
        <v>1.00011551563444</v>
      </c>
      <c r="F120" s="12">
        <v>0.997339115284378</v>
      </c>
    </row>
    <row r="121" spans="1:6">
      <c r="A121" s="13">
        <v>154</v>
      </c>
      <c r="B121" s="12">
        <v>1999</v>
      </c>
      <c r="C121" s="12">
        <v>15</v>
      </c>
      <c r="D121" s="12">
        <v>0.996740895571081</v>
      </c>
      <c r="E121" s="12">
        <v>0.997018832361539</v>
      </c>
      <c r="F121" s="12">
        <v>0.999721232155866</v>
      </c>
    </row>
    <row r="122" spans="1:6">
      <c r="A122" s="13">
        <v>155</v>
      </c>
      <c r="B122" s="12">
        <v>1999</v>
      </c>
      <c r="C122" s="12">
        <v>16</v>
      </c>
      <c r="D122" s="12">
        <v>0.997198693094369</v>
      </c>
      <c r="E122" s="12">
        <v>0.994541162188575</v>
      </c>
      <c r="F122" s="12">
        <v>1.00267211756218</v>
      </c>
    </row>
    <row r="123" spans="1:6">
      <c r="A123" s="13">
        <v>156</v>
      </c>
      <c r="B123" s="12">
        <v>1999</v>
      </c>
      <c r="C123" s="12">
        <v>17</v>
      </c>
      <c r="D123" s="12">
        <v>0.980878846105317</v>
      </c>
      <c r="E123" s="12">
        <v>0.971187828990904</v>
      </c>
      <c r="F123" s="12">
        <v>1.00997851993726</v>
      </c>
    </row>
    <row r="124" spans="1:6">
      <c r="A124" s="13">
        <v>157</v>
      </c>
      <c r="B124" s="12">
        <v>1999</v>
      </c>
      <c r="C124" s="12">
        <v>18</v>
      </c>
      <c r="D124" s="12">
        <v>1.07664880244912</v>
      </c>
      <c r="E124" s="12">
        <v>1.00059456380059</v>
      </c>
      <c r="F124" s="12">
        <v>1.07600904642102</v>
      </c>
    </row>
    <row r="125" spans="1:6">
      <c r="A125" s="13">
        <v>158</v>
      </c>
      <c r="B125" s="12">
        <v>1999</v>
      </c>
      <c r="C125" s="12">
        <v>19</v>
      </c>
      <c r="D125" s="12">
        <v>0.940289377571415</v>
      </c>
      <c r="E125" s="12">
        <v>0.983645964816317</v>
      </c>
      <c r="F125" s="12">
        <v>0.955922568896017</v>
      </c>
    </row>
    <row r="126" spans="1:6">
      <c r="A126" s="13">
        <v>159</v>
      </c>
      <c r="B126" s="12">
        <v>1999</v>
      </c>
      <c r="C126" s="12">
        <v>20</v>
      </c>
      <c r="D126" s="12">
        <v>1.00339385957589</v>
      </c>
      <c r="E126" s="12">
        <v>1.00004623494473</v>
      </c>
      <c r="F126" s="12">
        <v>1.00334746986108</v>
      </c>
    </row>
    <row r="127" spans="1:6">
      <c r="A127" s="13">
        <v>160</v>
      </c>
      <c r="B127" s="12">
        <v>1999</v>
      </c>
      <c r="C127" s="12">
        <v>21</v>
      </c>
      <c r="D127" s="12">
        <v>0.996975228709585</v>
      </c>
      <c r="E127" s="12">
        <v>0.999997622886693</v>
      </c>
      <c r="F127" s="12">
        <v>0.996977598638301</v>
      </c>
    </row>
    <row r="128" spans="1:6">
      <c r="A128" s="13">
        <v>161</v>
      </c>
      <c r="B128" s="12">
        <v>1999</v>
      </c>
      <c r="C128" s="12">
        <v>22</v>
      </c>
      <c r="D128" s="12">
        <v>1.01395833136823</v>
      </c>
      <c r="E128" s="12">
        <v>1.01858121368148</v>
      </c>
      <c r="F128" s="12">
        <v>0.995461449464062</v>
      </c>
    </row>
    <row r="129" spans="1:6">
      <c r="A129" s="13">
        <v>162</v>
      </c>
      <c r="B129" s="12">
        <v>1999</v>
      </c>
      <c r="C129" s="12">
        <v>23</v>
      </c>
      <c r="D129" s="12">
        <v>0.999638584237998</v>
      </c>
      <c r="E129" s="12">
        <v>0.999304186442029</v>
      </c>
      <c r="F129" s="12">
        <v>1.0003346306365</v>
      </c>
    </row>
    <row r="130" spans="1:6">
      <c r="A130" s="13">
        <v>163</v>
      </c>
      <c r="B130" s="12">
        <v>1999</v>
      </c>
      <c r="C130" s="12">
        <v>24</v>
      </c>
      <c r="D130" s="12">
        <v>0.996180082841995</v>
      </c>
      <c r="E130" s="12">
        <v>0.981917405399589</v>
      </c>
      <c r="F130" s="12">
        <v>1.01452533315325</v>
      </c>
    </row>
    <row r="131" spans="1:6">
      <c r="A131" s="13">
        <v>164</v>
      </c>
      <c r="B131" s="12">
        <v>1999</v>
      </c>
      <c r="C131" s="12">
        <v>25</v>
      </c>
      <c r="D131" s="12">
        <v>1.00379393855512</v>
      </c>
      <c r="E131" s="12">
        <v>1.03621608495578</v>
      </c>
      <c r="F131" s="12">
        <v>0.9687110180286</v>
      </c>
    </row>
    <row r="132" spans="1:6">
      <c r="A132" s="13">
        <v>165</v>
      </c>
      <c r="B132" s="12">
        <v>1999</v>
      </c>
      <c r="C132" s="12">
        <v>26</v>
      </c>
      <c r="D132" s="12">
        <v>1.00173966878367</v>
      </c>
      <c r="E132" s="12">
        <v>0.986692964159419</v>
      </c>
      <c r="F132" s="12">
        <v>1.01524963202415</v>
      </c>
    </row>
    <row r="133" spans="1:6">
      <c r="A133" s="13">
        <v>166</v>
      </c>
      <c r="B133" s="12">
        <v>1999</v>
      </c>
      <c r="C133" s="12">
        <v>27</v>
      </c>
      <c r="D133" s="12">
        <v>0.997517045538974</v>
      </c>
      <c r="E133" s="12">
        <v>0.997005927241664</v>
      </c>
      <c r="F133" s="12">
        <v>1.00051265321835</v>
      </c>
    </row>
    <row r="134" spans="1:6">
      <c r="A134" s="13">
        <v>167</v>
      </c>
      <c r="B134" s="12">
        <v>1999</v>
      </c>
      <c r="C134" s="12">
        <v>28</v>
      </c>
      <c r="D134" s="12">
        <v>1.00239507678152</v>
      </c>
      <c r="E134" s="12">
        <v>1.00019918216527</v>
      </c>
      <c r="F134" s="12">
        <v>1.00219545732031</v>
      </c>
    </row>
    <row r="135" spans="1:6">
      <c r="A135" s="13">
        <v>168</v>
      </c>
      <c r="B135" s="12">
        <v>1999</v>
      </c>
      <c r="C135" s="12">
        <v>29</v>
      </c>
      <c r="D135" s="12">
        <v>1.00010340940527</v>
      </c>
      <c r="E135" s="12">
        <v>0.996292372217729</v>
      </c>
      <c r="F135" s="12">
        <v>1.0038252196783</v>
      </c>
    </row>
    <row r="136" spans="1:6">
      <c r="A136" s="13">
        <v>169</v>
      </c>
      <c r="B136" s="12">
        <v>1999</v>
      </c>
      <c r="C136" s="12">
        <v>30</v>
      </c>
      <c r="D136" s="12">
        <v>0.964614464256902</v>
      </c>
      <c r="E136" s="12">
        <v>0.976895071972906</v>
      </c>
      <c r="F136" s="12">
        <v>0.987428938820212</v>
      </c>
    </row>
    <row r="137" spans="1:6">
      <c r="A137" s="13">
        <v>170</v>
      </c>
      <c r="B137" s="12">
        <v>1999</v>
      </c>
      <c r="C137" s="12">
        <v>31</v>
      </c>
      <c r="D137" s="12">
        <v>1.00113043736017</v>
      </c>
      <c r="E137" s="12">
        <v>1.00008127325569</v>
      </c>
      <c r="F137" s="12">
        <v>1.00104907884243</v>
      </c>
    </row>
    <row r="138" spans="1:6">
      <c r="A138" s="13">
        <v>171</v>
      </c>
      <c r="B138" s="12">
        <v>1999</v>
      </c>
      <c r="C138" s="12">
        <v>32</v>
      </c>
      <c r="D138" s="12">
        <v>0.997464636359159</v>
      </c>
      <c r="E138" s="12">
        <v>0.999964868308384</v>
      </c>
      <c r="F138" s="12">
        <v>0.997499680210311</v>
      </c>
    </row>
    <row r="139" spans="1:6">
      <c r="A139" s="13">
        <v>172</v>
      </c>
      <c r="B139" s="12">
        <v>1999</v>
      </c>
      <c r="C139" s="12">
        <v>33</v>
      </c>
      <c r="D139" s="12">
        <v>1.0332890133393</v>
      </c>
      <c r="E139" s="12">
        <v>1.01547771530801</v>
      </c>
      <c r="F139" s="12">
        <v>1.01753982166501</v>
      </c>
    </row>
    <row r="140" spans="1:6">
      <c r="A140" s="13">
        <v>173</v>
      </c>
      <c r="B140" s="12">
        <v>1999</v>
      </c>
      <c r="C140" s="12">
        <v>34</v>
      </c>
      <c r="D140" s="12">
        <v>1.01003303353041</v>
      </c>
      <c r="E140" s="12">
        <v>0.999985616536241</v>
      </c>
      <c r="F140" s="12">
        <v>1.01004756151291</v>
      </c>
    </row>
    <row r="141" spans="1:6">
      <c r="A141" s="13">
        <v>174</v>
      </c>
      <c r="B141" s="12">
        <v>1999</v>
      </c>
      <c r="C141" s="12">
        <v>35</v>
      </c>
      <c r="D141" s="12">
        <v>0.985613962375666</v>
      </c>
      <c r="E141" s="12">
        <v>0.999324120318775</v>
      </c>
      <c r="F141" s="12">
        <v>0.986280569372492</v>
      </c>
    </row>
    <row r="142" spans="1:6">
      <c r="A142" s="13">
        <v>175</v>
      </c>
      <c r="B142" s="12">
        <v>2000</v>
      </c>
      <c r="C142" s="12">
        <v>1</v>
      </c>
      <c r="D142" s="12">
        <v>1.00181365796915</v>
      </c>
      <c r="E142" s="12">
        <v>1.01507508978682</v>
      </c>
      <c r="F142" s="12">
        <v>0.986935516444933</v>
      </c>
    </row>
    <row r="143" spans="1:6">
      <c r="A143" s="13">
        <v>176</v>
      </c>
      <c r="B143" s="12">
        <v>2000</v>
      </c>
      <c r="C143" s="12">
        <v>2</v>
      </c>
      <c r="D143" s="12">
        <v>0.99567895819747</v>
      </c>
      <c r="E143" s="12">
        <v>0.993999567389988</v>
      </c>
      <c r="F143" s="12">
        <v>1.00168952871065</v>
      </c>
    </row>
    <row r="144" spans="1:6">
      <c r="A144" s="13">
        <v>177</v>
      </c>
      <c r="B144" s="12">
        <v>2000</v>
      </c>
      <c r="C144" s="12">
        <v>3</v>
      </c>
      <c r="D144" s="12">
        <v>0.987549643618043</v>
      </c>
      <c r="E144" s="12">
        <v>0.955616297343352</v>
      </c>
      <c r="F144" s="12">
        <v>1.0334164940086</v>
      </c>
    </row>
    <row r="145" spans="1:6">
      <c r="A145" s="13">
        <v>178</v>
      </c>
      <c r="B145" s="12">
        <v>2000</v>
      </c>
      <c r="C145" s="12">
        <v>4</v>
      </c>
      <c r="D145" s="12">
        <v>1.01201734836615</v>
      </c>
      <c r="E145" s="12">
        <v>1.01998243464639</v>
      </c>
      <c r="F145" s="12">
        <v>0.992190957403106</v>
      </c>
    </row>
    <row r="146" spans="1:6">
      <c r="A146" s="13">
        <v>179</v>
      </c>
      <c r="B146" s="12">
        <v>2000</v>
      </c>
      <c r="C146" s="12">
        <v>5</v>
      </c>
      <c r="D146" s="12">
        <v>0.992895045556462</v>
      </c>
      <c r="E146" s="12">
        <v>0.994274496758519</v>
      </c>
      <c r="F146" s="12">
        <v>0.998612605264889</v>
      </c>
    </row>
    <row r="147" spans="1:6">
      <c r="A147" s="13">
        <v>180</v>
      </c>
      <c r="B147" s="12">
        <v>2000</v>
      </c>
      <c r="C147" s="12">
        <v>6</v>
      </c>
      <c r="D147" s="12">
        <v>0.990034097249111</v>
      </c>
      <c r="E147" s="12">
        <v>0.98873200314626</v>
      </c>
      <c r="F147" s="12">
        <v>1.00131693330317</v>
      </c>
    </row>
    <row r="148" spans="1:6">
      <c r="A148" s="13">
        <v>181</v>
      </c>
      <c r="B148" s="12">
        <v>2000</v>
      </c>
      <c r="C148" s="12">
        <v>7</v>
      </c>
      <c r="D148" s="12">
        <v>1.00256877709381</v>
      </c>
      <c r="E148" s="12">
        <v>0.994262670384924</v>
      </c>
      <c r="F148" s="12">
        <v>1.00835403657031</v>
      </c>
    </row>
    <row r="149" spans="1:6">
      <c r="A149" s="13">
        <v>182</v>
      </c>
      <c r="B149" s="12">
        <v>2000</v>
      </c>
      <c r="C149" s="12">
        <v>8</v>
      </c>
      <c r="D149" s="12">
        <v>0.997879655052655</v>
      </c>
      <c r="E149" s="12">
        <v>1.00002582783305</v>
      </c>
      <c r="F149" s="12">
        <v>0.997853882649165</v>
      </c>
    </row>
    <row r="150" spans="1:6">
      <c r="A150" s="13">
        <v>183</v>
      </c>
      <c r="B150" s="12">
        <v>2000</v>
      </c>
      <c r="C150" s="12">
        <v>9</v>
      </c>
      <c r="D150" s="12">
        <v>0.996512813861015</v>
      </c>
      <c r="E150" s="12">
        <v>0.991048901341492</v>
      </c>
      <c r="F150" s="12">
        <v>1.00551326227407</v>
      </c>
    </row>
    <row r="151" spans="1:6">
      <c r="A151" s="13">
        <v>184</v>
      </c>
      <c r="B151" s="12">
        <v>2000</v>
      </c>
      <c r="C151" s="12">
        <v>10</v>
      </c>
      <c r="D151" s="12">
        <v>0.947893727413693</v>
      </c>
      <c r="E151" s="12">
        <v>0.999117257688626</v>
      </c>
      <c r="F151" s="12">
        <v>0.948731212597174</v>
      </c>
    </row>
    <row r="152" spans="1:6">
      <c r="A152" s="13">
        <v>185</v>
      </c>
      <c r="B152" s="12">
        <v>2000</v>
      </c>
      <c r="C152" s="12">
        <v>11</v>
      </c>
      <c r="D152" s="12">
        <v>0.966987882695005</v>
      </c>
      <c r="E152" s="12">
        <v>0.938410140143015</v>
      </c>
      <c r="F152" s="12">
        <v>1.03045336077425</v>
      </c>
    </row>
    <row r="153" spans="1:6">
      <c r="A153" s="13">
        <v>186</v>
      </c>
      <c r="B153" s="12">
        <v>2000</v>
      </c>
      <c r="C153" s="12">
        <v>12</v>
      </c>
      <c r="D153" s="12">
        <v>0.991177920047847</v>
      </c>
      <c r="E153" s="12">
        <v>0.986106585904315</v>
      </c>
      <c r="F153" s="12">
        <v>1.00514278498493</v>
      </c>
    </row>
    <row r="154" spans="1:6">
      <c r="A154" s="13">
        <v>187</v>
      </c>
      <c r="B154" s="12">
        <v>2000</v>
      </c>
      <c r="C154" s="12">
        <v>13</v>
      </c>
      <c r="D154" s="12">
        <v>1.00257982978377</v>
      </c>
      <c r="E154" s="12">
        <v>1.00178094421039</v>
      </c>
      <c r="F154" s="12">
        <v>1.00079746533212</v>
      </c>
    </row>
    <row r="155" spans="1:6">
      <c r="A155" s="13">
        <v>188</v>
      </c>
      <c r="B155" s="12">
        <v>2000</v>
      </c>
      <c r="C155" s="12">
        <v>14</v>
      </c>
      <c r="D155" s="12">
        <v>0.999388197054743</v>
      </c>
      <c r="E155" s="12">
        <v>0.999953658648011</v>
      </c>
      <c r="F155" s="12">
        <v>0.999434512201263</v>
      </c>
    </row>
    <row r="156" spans="1:6">
      <c r="A156" s="13">
        <v>189</v>
      </c>
      <c r="B156" s="12">
        <v>2000</v>
      </c>
      <c r="C156" s="12">
        <v>15</v>
      </c>
      <c r="D156" s="12">
        <v>0.99720370492742</v>
      </c>
      <c r="E156" s="12">
        <v>1.00024048831608</v>
      </c>
      <c r="F156" s="12">
        <v>0.99696394674667</v>
      </c>
    </row>
    <row r="157" spans="1:6">
      <c r="A157" s="13">
        <v>190</v>
      </c>
      <c r="B157" s="12">
        <v>2000</v>
      </c>
      <c r="C157" s="12">
        <v>16</v>
      </c>
      <c r="D157" s="12">
        <v>1.00806821171117</v>
      </c>
      <c r="E157" s="12">
        <v>1.01653126684166</v>
      </c>
      <c r="F157" s="12">
        <v>0.991674574696768</v>
      </c>
    </row>
    <row r="158" spans="1:6">
      <c r="A158" s="13">
        <v>191</v>
      </c>
      <c r="B158" s="12">
        <v>2000</v>
      </c>
      <c r="C158" s="12">
        <v>17</v>
      </c>
      <c r="D158" s="12">
        <v>0.971267844494008</v>
      </c>
      <c r="E158" s="12">
        <v>0.969416727067867</v>
      </c>
      <c r="F158" s="12">
        <v>1.00190951669644</v>
      </c>
    </row>
    <row r="159" spans="1:6">
      <c r="A159" s="13">
        <v>192</v>
      </c>
      <c r="B159" s="12">
        <v>2000</v>
      </c>
      <c r="C159" s="12">
        <v>18</v>
      </c>
      <c r="D159" s="12">
        <v>1.01717259590208</v>
      </c>
      <c r="E159" s="12">
        <v>1.00027064577598</v>
      </c>
      <c r="F159" s="12">
        <v>1.01689737692241</v>
      </c>
    </row>
    <row r="160" spans="1:6">
      <c r="A160" s="13">
        <v>193</v>
      </c>
      <c r="B160" s="12">
        <v>2000</v>
      </c>
      <c r="C160" s="12">
        <v>19</v>
      </c>
      <c r="D160" s="12">
        <v>0.974610976783186</v>
      </c>
      <c r="E160" s="12">
        <v>1.00150276695683</v>
      </c>
      <c r="F160" s="12">
        <v>0.973148561281211</v>
      </c>
    </row>
    <row r="161" spans="1:6">
      <c r="A161" s="13">
        <v>194</v>
      </c>
      <c r="B161" s="12">
        <v>2000</v>
      </c>
      <c r="C161" s="12">
        <v>20</v>
      </c>
      <c r="D161" s="12">
        <v>1.00001228493933</v>
      </c>
      <c r="E161" s="12">
        <v>0.999973382156552</v>
      </c>
      <c r="F161" s="12">
        <v>1.00003890381831</v>
      </c>
    </row>
    <row r="162" spans="1:6">
      <c r="A162" s="13">
        <v>195</v>
      </c>
      <c r="B162" s="12">
        <v>2000</v>
      </c>
      <c r="C162" s="12">
        <v>21</v>
      </c>
      <c r="D162" s="12">
        <v>1.00353382055444</v>
      </c>
      <c r="E162" s="12">
        <v>1.0000853820598</v>
      </c>
      <c r="F162" s="12">
        <v>1.00344814408499</v>
      </c>
    </row>
    <row r="163" spans="1:6">
      <c r="A163" s="13">
        <v>196</v>
      </c>
      <c r="B163" s="12">
        <v>2000</v>
      </c>
      <c r="C163" s="12">
        <v>22</v>
      </c>
      <c r="D163" s="12">
        <v>0.996373664120738</v>
      </c>
      <c r="E163" s="12">
        <v>1.02608865546924</v>
      </c>
      <c r="F163" s="12">
        <v>0.97104052248301</v>
      </c>
    </row>
    <row r="164" spans="1:6">
      <c r="A164" s="13">
        <v>197</v>
      </c>
      <c r="B164" s="12">
        <v>2000</v>
      </c>
      <c r="C164" s="12">
        <v>23</v>
      </c>
      <c r="D164" s="12">
        <v>1.00217674207211</v>
      </c>
      <c r="E164" s="12">
        <v>0.993708891304814</v>
      </c>
      <c r="F164" s="12">
        <v>1.00852146019965</v>
      </c>
    </row>
    <row r="165" spans="1:6">
      <c r="A165" s="13">
        <v>198</v>
      </c>
      <c r="B165" s="12">
        <v>2000</v>
      </c>
      <c r="C165" s="12">
        <v>24</v>
      </c>
      <c r="D165" s="12">
        <v>0.997212100959349</v>
      </c>
      <c r="E165" s="12">
        <v>1.00145625531055</v>
      </c>
      <c r="F165" s="12">
        <v>0.995762017233707</v>
      </c>
    </row>
    <row r="166" spans="1:6">
      <c r="A166" s="13">
        <v>199</v>
      </c>
      <c r="B166" s="12">
        <v>2000</v>
      </c>
      <c r="C166" s="12">
        <v>25</v>
      </c>
      <c r="D166" s="12">
        <v>1.00385115712698</v>
      </c>
      <c r="E166" s="12">
        <v>1.03142347310735</v>
      </c>
      <c r="F166" s="12">
        <v>0.973267705555211</v>
      </c>
    </row>
    <row r="167" spans="1:6">
      <c r="A167" s="13">
        <v>200</v>
      </c>
      <c r="B167" s="12">
        <v>2000</v>
      </c>
      <c r="C167" s="12">
        <v>26</v>
      </c>
      <c r="D167" s="12">
        <v>1.02041049090121</v>
      </c>
      <c r="E167" s="12">
        <v>1.03775653881831</v>
      </c>
      <c r="F167" s="12">
        <v>0.983285050714443</v>
      </c>
    </row>
    <row r="168" spans="1:6">
      <c r="A168" s="13">
        <v>201</v>
      </c>
      <c r="B168" s="12">
        <v>2000</v>
      </c>
      <c r="C168" s="12">
        <v>27</v>
      </c>
      <c r="D168" s="12">
        <v>0.994203873449412</v>
      </c>
      <c r="E168" s="12">
        <v>0.993955843967881</v>
      </c>
      <c r="F168" s="12">
        <v>1.00024953772649</v>
      </c>
    </row>
    <row r="169" spans="1:6">
      <c r="A169" s="13">
        <v>202</v>
      </c>
      <c r="B169" s="12">
        <v>2000</v>
      </c>
      <c r="C169" s="12">
        <v>28</v>
      </c>
      <c r="D169" s="12">
        <v>1.00113112713732</v>
      </c>
      <c r="E169" s="12">
        <v>1.00124982169289</v>
      </c>
      <c r="F169" s="12">
        <v>0.999881453606284</v>
      </c>
    </row>
    <row r="170" spans="1:6">
      <c r="A170" s="13">
        <v>203</v>
      </c>
      <c r="B170" s="12">
        <v>2000</v>
      </c>
      <c r="C170" s="12">
        <v>29</v>
      </c>
      <c r="D170" s="12">
        <v>1.00092193185662</v>
      </c>
      <c r="E170" s="12">
        <v>0.999513913540624</v>
      </c>
      <c r="F170" s="12">
        <v>1.00140870306748</v>
      </c>
    </row>
    <row r="171" spans="1:6">
      <c r="A171" s="13">
        <v>204</v>
      </c>
      <c r="B171" s="12">
        <v>2000</v>
      </c>
      <c r="C171" s="12">
        <v>30</v>
      </c>
      <c r="D171" s="12">
        <v>0.974188787723569</v>
      </c>
      <c r="E171" s="12">
        <v>0.974222774945077</v>
      </c>
      <c r="F171" s="12">
        <v>0.999965113501365</v>
      </c>
    </row>
    <row r="172" spans="1:6">
      <c r="A172" s="13">
        <v>205</v>
      </c>
      <c r="B172" s="12">
        <v>2000</v>
      </c>
      <c r="C172" s="12">
        <v>31</v>
      </c>
      <c r="D172" s="12">
        <v>0.999699413906366</v>
      </c>
      <c r="E172" s="12">
        <v>0.99988095865494</v>
      </c>
      <c r="F172" s="12">
        <v>0.999818433637521</v>
      </c>
    </row>
    <row r="173" spans="1:6">
      <c r="A173" s="13">
        <v>206</v>
      </c>
      <c r="B173" s="12">
        <v>2000</v>
      </c>
      <c r="C173" s="12">
        <v>32</v>
      </c>
      <c r="D173" s="12">
        <v>1.00001493761125</v>
      </c>
      <c r="E173" s="12">
        <v>0.999982290499413</v>
      </c>
      <c r="F173" s="12">
        <v>1.00003264769001</v>
      </c>
    </row>
    <row r="174" spans="1:6">
      <c r="A174" s="13">
        <v>207</v>
      </c>
      <c r="B174" s="12">
        <v>2000</v>
      </c>
      <c r="C174" s="12">
        <v>33</v>
      </c>
      <c r="D174" s="12">
        <v>0.96077873384149</v>
      </c>
      <c r="E174" s="12">
        <v>0.977596319204798</v>
      </c>
      <c r="F174" s="12">
        <v>0.982797004210298</v>
      </c>
    </row>
    <row r="175" spans="1:6">
      <c r="A175" s="13">
        <v>208</v>
      </c>
      <c r="B175" s="12">
        <v>2000</v>
      </c>
      <c r="C175" s="12">
        <v>34</v>
      </c>
      <c r="D175" s="12">
        <v>0.984315373134584</v>
      </c>
      <c r="E175" s="12">
        <v>1.00009506634789</v>
      </c>
      <c r="F175" s="12">
        <v>0.984221806761898</v>
      </c>
    </row>
    <row r="176" spans="1:6">
      <c r="A176" s="13">
        <v>209</v>
      </c>
      <c r="B176" s="12">
        <v>2000</v>
      </c>
      <c r="C176" s="12">
        <v>35</v>
      </c>
      <c r="D176" s="12">
        <v>1.0063535538534</v>
      </c>
      <c r="E176" s="12">
        <v>0.999996328867539</v>
      </c>
      <c r="F176" s="12">
        <v>1.00635724832416</v>
      </c>
    </row>
    <row r="177" spans="1:6">
      <c r="A177" s="13">
        <v>210</v>
      </c>
      <c r="B177" s="12">
        <v>2001</v>
      </c>
      <c r="C177" s="12">
        <v>1</v>
      </c>
      <c r="D177" s="12">
        <v>1.02633142123989</v>
      </c>
      <c r="E177" s="12">
        <v>0.997595790303851</v>
      </c>
      <c r="F177" s="12">
        <v>1.02880488391724</v>
      </c>
    </row>
    <row r="178" spans="1:6">
      <c r="A178" s="13">
        <v>211</v>
      </c>
      <c r="B178" s="12">
        <v>2001</v>
      </c>
      <c r="C178" s="12">
        <v>2</v>
      </c>
      <c r="D178" s="12">
        <v>0.997557722240904</v>
      </c>
      <c r="E178" s="12">
        <v>1.00147404623252</v>
      </c>
      <c r="F178" s="12">
        <v>0.996089440354094</v>
      </c>
    </row>
    <row r="179" spans="1:6">
      <c r="A179" s="13">
        <v>212</v>
      </c>
      <c r="B179" s="12">
        <v>2001</v>
      </c>
      <c r="C179" s="12">
        <v>3</v>
      </c>
      <c r="D179" s="12">
        <v>1.00846008063883</v>
      </c>
      <c r="E179" s="12">
        <v>1.01660850595863</v>
      </c>
      <c r="F179" s="12">
        <v>0.991984696889663</v>
      </c>
    </row>
    <row r="180" spans="1:6">
      <c r="A180" s="13">
        <v>213</v>
      </c>
      <c r="B180" s="12">
        <v>2001</v>
      </c>
      <c r="C180" s="12">
        <v>4</v>
      </c>
      <c r="D180" s="12">
        <v>1.03266261647586</v>
      </c>
      <c r="E180" s="12">
        <v>1.03734580553322</v>
      </c>
      <c r="F180" s="12">
        <v>0.9954854118729</v>
      </c>
    </row>
    <row r="181" spans="1:6">
      <c r="A181" s="13">
        <v>214</v>
      </c>
      <c r="B181" s="12">
        <v>2001</v>
      </c>
      <c r="C181" s="12">
        <v>5</v>
      </c>
      <c r="D181" s="12">
        <v>0.999150981961106</v>
      </c>
      <c r="E181" s="12">
        <v>0.998229516849674</v>
      </c>
      <c r="F181" s="12">
        <v>1.00092309944344</v>
      </c>
    </row>
    <row r="182" spans="1:6">
      <c r="A182" s="13">
        <v>215</v>
      </c>
      <c r="B182" s="12">
        <v>2001</v>
      </c>
      <c r="C182" s="12">
        <v>6</v>
      </c>
      <c r="D182" s="12">
        <v>0.995226764523629</v>
      </c>
      <c r="E182" s="12">
        <v>0.999447292196804</v>
      </c>
      <c r="F182" s="12">
        <v>0.995777138318221</v>
      </c>
    </row>
    <row r="183" spans="1:6">
      <c r="A183" s="13">
        <v>216</v>
      </c>
      <c r="B183" s="12">
        <v>2001</v>
      </c>
      <c r="C183" s="12">
        <v>7</v>
      </c>
      <c r="D183" s="12">
        <v>1.00004975749734</v>
      </c>
      <c r="E183" s="12">
        <v>1.00423879806855</v>
      </c>
      <c r="F183" s="12">
        <v>0.99582864097736</v>
      </c>
    </row>
    <row r="184" spans="1:6">
      <c r="A184" s="13">
        <v>217</v>
      </c>
      <c r="B184" s="12">
        <v>2001</v>
      </c>
      <c r="C184" s="12">
        <v>8</v>
      </c>
      <c r="D184" s="12">
        <v>0.99838419191167</v>
      </c>
      <c r="E184" s="12">
        <v>0.999966164567088</v>
      </c>
      <c r="F184" s="12">
        <v>0.998417973816042</v>
      </c>
    </row>
    <row r="185" spans="1:6">
      <c r="A185" s="13">
        <v>218</v>
      </c>
      <c r="B185" s="12">
        <v>2001</v>
      </c>
      <c r="C185" s="12">
        <v>9</v>
      </c>
      <c r="D185" s="12">
        <v>0.998628062494692</v>
      </c>
      <c r="E185" s="12">
        <v>1.00363549938826</v>
      </c>
      <c r="F185" s="12">
        <v>0.995010701697359</v>
      </c>
    </row>
    <row r="186" spans="1:6">
      <c r="A186" s="13">
        <v>219</v>
      </c>
      <c r="B186" s="12">
        <v>2001</v>
      </c>
      <c r="C186" s="12">
        <v>10</v>
      </c>
      <c r="D186" s="12">
        <v>1.00835407333086</v>
      </c>
      <c r="E186" s="12">
        <v>1.00037407170722</v>
      </c>
      <c r="F186" s="12">
        <v>1.00797701764703</v>
      </c>
    </row>
    <row r="187" spans="1:6">
      <c r="A187" s="13">
        <v>220</v>
      </c>
      <c r="B187" s="12">
        <v>2001</v>
      </c>
      <c r="C187" s="12">
        <v>11</v>
      </c>
      <c r="D187" s="12">
        <v>1.03027151705292</v>
      </c>
      <c r="E187" s="12">
        <v>1.02579296930667</v>
      </c>
      <c r="F187" s="12">
        <v>1.00436593726049</v>
      </c>
    </row>
    <row r="188" spans="1:6">
      <c r="A188" s="13">
        <v>221</v>
      </c>
      <c r="B188" s="12">
        <v>2001</v>
      </c>
      <c r="C188" s="12">
        <v>12</v>
      </c>
      <c r="D188" s="12">
        <v>1.00156374444211</v>
      </c>
      <c r="E188" s="12">
        <v>1.00730333123424</v>
      </c>
      <c r="F188" s="12">
        <v>0.994302027389205</v>
      </c>
    </row>
    <row r="189" spans="1:6">
      <c r="A189" s="13">
        <v>222</v>
      </c>
      <c r="B189" s="12">
        <v>2001</v>
      </c>
      <c r="C189" s="12">
        <v>13</v>
      </c>
      <c r="D189" s="12">
        <v>0.998671939981948</v>
      </c>
      <c r="E189" s="12">
        <v>1.00401799325204</v>
      </c>
      <c r="F189" s="12">
        <v>0.99467534117314</v>
      </c>
    </row>
    <row r="190" spans="1:6">
      <c r="A190" s="13">
        <v>223</v>
      </c>
      <c r="B190" s="12">
        <v>2001</v>
      </c>
      <c r="C190" s="12">
        <v>14</v>
      </c>
      <c r="D190" s="12">
        <v>1.00298816442801</v>
      </c>
      <c r="E190" s="12">
        <v>1.00010083250068</v>
      </c>
      <c r="F190" s="12">
        <v>1.00288704081978</v>
      </c>
    </row>
    <row r="191" spans="1:6">
      <c r="A191" s="13">
        <v>224</v>
      </c>
      <c r="B191" s="12">
        <v>2001</v>
      </c>
      <c r="C191" s="12">
        <v>15</v>
      </c>
      <c r="D191" s="12">
        <v>0.996510455214217</v>
      </c>
      <c r="E191" s="12">
        <v>1.00392163546532</v>
      </c>
      <c r="F191" s="12">
        <v>0.992617770163234</v>
      </c>
    </row>
    <row r="192" spans="1:6">
      <c r="A192" s="13">
        <v>225</v>
      </c>
      <c r="B192" s="12">
        <v>2001</v>
      </c>
      <c r="C192" s="12">
        <v>16</v>
      </c>
      <c r="D192" s="12">
        <v>0.999879012327952</v>
      </c>
      <c r="E192" s="12">
        <v>1.00183860627614</v>
      </c>
      <c r="F192" s="12">
        <v>0.998044002361348</v>
      </c>
    </row>
    <row r="193" spans="1:6">
      <c r="A193" s="13">
        <v>226</v>
      </c>
      <c r="B193" s="12">
        <v>2001</v>
      </c>
      <c r="C193" s="12">
        <v>17</v>
      </c>
      <c r="D193" s="12">
        <v>1.00254271757214</v>
      </c>
      <c r="E193" s="12">
        <v>1.01400437128215</v>
      </c>
      <c r="F193" s="12">
        <v>0.988696642702319</v>
      </c>
    </row>
    <row r="194" spans="1:6">
      <c r="A194" s="13">
        <v>227</v>
      </c>
      <c r="B194" s="12">
        <v>2001</v>
      </c>
      <c r="C194" s="12">
        <v>18</v>
      </c>
      <c r="D194" s="12">
        <v>0.977319711277107</v>
      </c>
      <c r="E194" s="12">
        <v>0.999277732217616</v>
      </c>
      <c r="F194" s="12">
        <v>0.978026108025264</v>
      </c>
    </row>
    <row r="195" spans="1:6">
      <c r="A195" s="13">
        <v>228</v>
      </c>
      <c r="B195" s="12">
        <v>2001</v>
      </c>
      <c r="C195" s="12">
        <v>19</v>
      </c>
      <c r="D195" s="12">
        <v>0.998222136666564</v>
      </c>
      <c r="E195" s="12">
        <v>0.992903412578413</v>
      </c>
      <c r="F195" s="12">
        <v>1.00535673865229</v>
      </c>
    </row>
    <row r="196" spans="1:6">
      <c r="A196" s="13">
        <v>229</v>
      </c>
      <c r="B196" s="12">
        <v>2001</v>
      </c>
      <c r="C196" s="12">
        <v>20</v>
      </c>
      <c r="D196" s="12">
        <v>0.998623624225054</v>
      </c>
      <c r="E196" s="12">
        <v>0.999975696398693</v>
      </c>
      <c r="F196" s="12">
        <v>0.998647894965339</v>
      </c>
    </row>
    <row r="197" spans="1:6">
      <c r="A197" s="13">
        <v>230</v>
      </c>
      <c r="B197" s="12">
        <v>2001</v>
      </c>
      <c r="C197" s="12">
        <v>21</v>
      </c>
      <c r="D197" s="12">
        <v>0.999991820619629</v>
      </c>
      <c r="E197" s="12">
        <v>0.999926106283059</v>
      </c>
      <c r="F197" s="12">
        <v>1.00006571919281</v>
      </c>
    </row>
    <row r="198" spans="1:6">
      <c r="A198" s="13">
        <v>231</v>
      </c>
      <c r="B198" s="12">
        <v>2001</v>
      </c>
      <c r="C198" s="12">
        <v>22</v>
      </c>
      <c r="D198" s="12">
        <v>1.06119038820766</v>
      </c>
      <c r="E198" s="12">
        <v>1.04710246577198</v>
      </c>
      <c r="F198" s="12">
        <v>1.0134541966008</v>
      </c>
    </row>
    <row r="199" spans="1:6">
      <c r="A199" s="13">
        <v>232</v>
      </c>
      <c r="B199" s="12">
        <v>2001</v>
      </c>
      <c r="C199" s="12">
        <v>23</v>
      </c>
      <c r="D199" s="12">
        <v>0.992732616639476</v>
      </c>
      <c r="E199" s="12">
        <v>0.999940899148419</v>
      </c>
      <c r="F199" s="12">
        <v>0.992791291450243</v>
      </c>
    </row>
    <row r="200" spans="1:6">
      <c r="A200" s="13">
        <v>233</v>
      </c>
      <c r="B200" s="12">
        <v>2001</v>
      </c>
      <c r="C200" s="12">
        <v>24</v>
      </c>
      <c r="D200" s="12">
        <v>0.99943439063585</v>
      </c>
      <c r="E200" s="12">
        <v>0.994447032654602</v>
      </c>
      <c r="F200" s="12">
        <v>1.00501520726341</v>
      </c>
    </row>
    <row r="201" spans="1:6">
      <c r="A201" s="13">
        <v>234</v>
      </c>
      <c r="B201" s="12">
        <v>2001</v>
      </c>
      <c r="C201" s="12">
        <v>25</v>
      </c>
      <c r="D201" s="12">
        <v>1.01728234644777</v>
      </c>
      <c r="E201" s="12">
        <v>1.00030026811845</v>
      </c>
      <c r="F201" s="12">
        <v>1.01697698068327</v>
      </c>
    </row>
    <row r="202" spans="1:6">
      <c r="A202" s="13">
        <v>235</v>
      </c>
      <c r="B202" s="12">
        <v>2001</v>
      </c>
      <c r="C202" s="12">
        <v>26</v>
      </c>
      <c r="D202" s="12">
        <v>1.04739555009434</v>
      </c>
      <c r="E202" s="12">
        <v>1.12249904354458</v>
      </c>
      <c r="F202" s="12">
        <v>0.933092599158847</v>
      </c>
    </row>
    <row r="203" spans="1:6">
      <c r="A203" s="13">
        <v>236</v>
      </c>
      <c r="B203" s="12">
        <v>2001</v>
      </c>
      <c r="C203" s="12">
        <v>27</v>
      </c>
      <c r="D203" s="12">
        <v>0.998450140507833</v>
      </c>
      <c r="E203" s="12">
        <v>1.00285587448365</v>
      </c>
      <c r="F203" s="12">
        <v>0.995606812416504</v>
      </c>
    </row>
    <row r="204" spans="1:6">
      <c r="A204" s="13">
        <v>237</v>
      </c>
      <c r="B204" s="12">
        <v>2001</v>
      </c>
      <c r="C204" s="12">
        <v>28</v>
      </c>
      <c r="D204" s="12">
        <v>0.993864152265259</v>
      </c>
      <c r="E204" s="12">
        <v>0.995272443516221</v>
      </c>
      <c r="F204" s="12">
        <v>0.998585019348083</v>
      </c>
    </row>
    <row r="205" spans="1:6">
      <c r="A205" s="13">
        <v>238</v>
      </c>
      <c r="B205" s="12">
        <v>2001</v>
      </c>
      <c r="C205" s="12">
        <v>29</v>
      </c>
      <c r="D205" s="12">
        <v>0.998409131452007</v>
      </c>
      <c r="E205" s="12">
        <v>1.0005449697773</v>
      </c>
      <c r="F205" s="12">
        <v>0.997865325008061</v>
      </c>
    </row>
    <row r="206" spans="1:6">
      <c r="A206" s="13">
        <v>239</v>
      </c>
      <c r="B206" s="12">
        <v>2001</v>
      </c>
      <c r="C206" s="12">
        <v>30</v>
      </c>
      <c r="D206" s="12">
        <v>0.991874158181317</v>
      </c>
      <c r="E206" s="12">
        <v>1.00249779604787</v>
      </c>
      <c r="F206" s="12">
        <v>0.989402831698547</v>
      </c>
    </row>
    <row r="207" spans="1:6">
      <c r="A207" s="13">
        <v>240</v>
      </c>
      <c r="B207" s="12">
        <v>2001</v>
      </c>
      <c r="C207" s="12">
        <v>31</v>
      </c>
      <c r="D207" s="12">
        <v>0.985030105222282</v>
      </c>
      <c r="E207" s="12">
        <v>0.987272596354714</v>
      </c>
      <c r="F207" s="12">
        <v>0.997728599840903</v>
      </c>
    </row>
    <row r="208" spans="1:6">
      <c r="A208" s="13">
        <v>241</v>
      </c>
      <c r="B208" s="12">
        <v>2001</v>
      </c>
      <c r="C208" s="12">
        <v>32</v>
      </c>
      <c r="D208" s="12">
        <v>0.994971105327023</v>
      </c>
      <c r="E208" s="12">
        <v>1.00001643037171</v>
      </c>
      <c r="F208" s="12">
        <v>0.994954757850518</v>
      </c>
    </row>
    <row r="209" spans="1:6">
      <c r="A209" s="13">
        <v>242</v>
      </c>
      <c r="B209" s="12">
        <v>2001</v>
      </c>
      <c r="C209" s="12">
        <v>33</v>
      </c>
      <c r="D209" s="12">
        <v>1.0847060244493</v>
      </c>
      <c r="E209" s="12">
        <v>1.16147746762353</v>
      </c>
      <c r="F209" s="12">
        <v>0.933901909150844</v>
      </c>
    </row>
    <row r="210" spans="1:6">
      <c r="A210" s="13">
        <v>243</v>
      </c>
      <c r="B210" s="12">
        <v>2001</v>
      </c>
      <c r="C210" s="12">
        <v>34</v>
      </c>
      <c r="D210" s="12">
        <v>1.00178843425925</v>
      </c>
      <c r="E210" s="12">
        <v>0.999923730274873</v>
      </c>
      <c r="F210" s="12">
        <v>1.00186484621569</v>
      </c>
    </row>
    <row r="211" spans="1:6">
      <c r="A211" s="13">
        <v>244</v>
      </c>
      <c r="B211" s="12">
        <v>2001</v>
      </c>
      <c r="C211" s="12">
        <v>35</v>
      </c>
      <c r="D211" s="12">
        <v>1.05505194574265</v>
      </c>
      <c r="E211" s="12">
        <v>1.00035675215797</v>
      </c>
      <c r="F211" s="12">
        <v>1.05467568791502</v>
      </c>
    </row>
    <row r="212" spans="1:6">
      <c r="A212" s="13">
        <v>245</v>
      </c>
      <c r="B212" s="12">
        <v>2002</v>
      </c>
      <c r="C212" s="12">
        <v>1</v>
      </c>
      <c r="D212" s="12">
        <v>0.983088214211067</v>
      </c>
      <c r="E212" s="12">
        <v>0.982021763662296</v>
      </c>
      <c r="F212" s="12">
        <v>1.00108597445416</v>
      </c>
    </row>
    <row r="213" spans="1:6">
      <c r="A213" s="13">
        <v>246</v>
      </c>
      <c r="B213" s="12">
        <v>2002</v>
      </c>
      <c r="C213" s="12">
        <v>2</v>
      </c>
      <c r="D213" s="12">
        <v>1.0032818760179</v>
      </c>
      <c r="E213" s="12">
        <v>1.00002784001372</v>
      </c>
      <c r="F213" s="12">
        <v>1.00325394541429</v>
      </c>
    </row>
    <row r="214" spans="1:6">
      <c r="A214" s="13">
        <v>247</v>
      </c>
      <c r="B214" s="12">
        <v>2002</v>
      </c>
      <c r="C214" s="12">
        <v>3</v>
      </c>
      <c r="D214" s="12">
        <v>1.02456996613371</v>
      </c>
      <c r="E214" s="12">
        <v>1.01980824409055</v>
      </c>
      <c r="F214" s="12">
        <v>1.0046692327413</v>
      </c>
    </row>
    <row r="215" spans="1:6">
      <c r="A215" s="13">
        <v>248</v>
      </c>
      <c r="B215" s="12">
        <v>2002</v>
      </c>
      <c r="C215" s="12">
        <v>4</v>
      </c>
      <c r="D215" s="12">
        <v>0.996947070831239</v>
      </c>
      <c r="E215" s="12">
        <v>0.998853395185297</v>
      </c>
      <c r="F215" s="12">
        <v>0.998091487336133</v>
      </c>
    </row>
    <row r="216" spans="1:6">
      <c r="A216" s="13">
        <v>249</v>
      </c>
      <c r="B216" s="12">
        <v>2002</v>
      </c>
      <c r="C216" s="12">
        <v>5</v>
      </c>
      <c r="D216" s="12">
        <v>0.998050599636498</v>
      </c>
      <c r="E216" s="12">
        <v>0.994907570128898</v>
      </c>
      <c r="F216" s="12">
        <v>1.00315911708984</v>
      </c>
    </row>
    <row r="217" spans="1:6">
      <c r="A217" s="13">
        <v>250</v>
      </c>
      <c r="B217" s="12">
        <v>2002</v>
      </c>
      <c r="C217" s="12">
        <v>6</v>
      </c>
      <c r="D217" s="12">
        <v>0.99885473924618</v>
      </c>
      <c r="E217" s="12">
        <v>1.0003474180152</v>
      </c>
      <c r="F217" s="12">
        <v>0.998507839634375</v>
      </c>
    </row>
    <row r="218" spans="1:6">
      <c r="A218" s="13">
        <v>251</v>
      </c>
      <c r="B218" s="12">
        <v>2002</v>
      </c>
      <c r="C218" s="12">
        <v>7</v>
      </c>
      <c r="D218" s="12">
        <v>1.00201159582182</v>
      </c>
      <c r="E218" s="12">
        <v>1.00126315598153</v>
      </c>
      <c r="F218" s="12">
        <v>1.0007474956367</v>
      </c>
    </row>
    <row r="219" spans="1:6">
      <c r="A219" s="13">
        <v>252</v>
      </c>
      <c r="B219" s="12">
        <v>2002</v>
      </c>
      <c r="C219" s="12">
        <v>8</v>
      </c>
      <c r="D219" s="12">
        <v>0.997413828329197</v>
      </c>
      <c r="E219" s="12">
        <v>0.999966361415992</v>
      </c>
      <c r="F219" s="12">
        <v>0.997447381046717</v>
      </c>
    </row>
    <row r="220" spans="1:6">
      <c r="A220" s="13">
        <v>253</v>
      </c>
      <c r="B220" s="12">
        <v>2002</v>
      </c>
      <c r="C220" s="12">
        <v>9</v>
      </c>
      <c r="D220" s="12">
        <v>1.00192659354522</v>
      </c>
      <c r="E220" s="12">
        <v>1.00365519966334</v>
      </c>
      <c r="F220" s="12">
        <v>0.998277689271481</v>
      </c>
    </row>
    <row r="221" spans="1:6">
      <c r="A221" s="13">
        <v>254</v>
      </c>
      <c r="B221" s="12">
        <v>2002</v>
      </c>
      <c r="C221" s="12">
        <v>10</v>
      </c>
      <c r="D221" s="12">
        <v>1.04175707071058</v>
      </c>
      <c r="E221" s="12">
        <v>1.00044167815575</v>
      </c>
      <c r="F221" s="12">
        <v>1.04129715250467</v>
      </c>
    </row>
    <row r="222" spans="1:6">
      <c r="A222" s="13">
        <v>255</v>
      </c>
      <c r="B222" s="12">
        <v>2002</v>
      </c>
      <c r="C222" s="12">
        <v>11</v>
      </c>
      <c r="D222" s="12">
        <v>1.09926746400326</v>
      </c>
      <c r="E222" s="12">
        <v>1.07190245768291</v>
      </c>
      <c r="F222" s="12">
        <v>1.02552938107774</v>
      </c>
    </row>
    <row r="223" spans="1:6">
      <c r="A223" s="13">
        <v>256</v>
      </c>
      <c r="B223" s="12">
        <v>2002</v>
      </c>
      <c r="C223" s="12">
        <v>12</v>
      </c>
      <c r="D223" s="12">
        <v>1.00404512504606</v>
      </c>
      <c r="E223" s="12">
        <v>1.00499200817505</v>
      </c>
      <c r="F223" s="12">
        <v>0.999057820240072</v>
      </c>
    </row>
    <row r="224" spans="1:6">
      <c r="A224" s="13">
        <v>257</v>
      </c>
      <c r="B224" s="12">
        <v>2002</v>
      </c>
      <c r="C224" s="12">
        <v>13</v>
      </c>
      <c r="D224" s="12">
        <v>0.998864814279424</v>
      </c>
      <c r="E224" s="12">
        <v>1.0014860115657</v>
      </c>
      <c r="F224" s="12">
        <v>0.997382692063585</v>
      </c>
    </row>
    <row r="225" spans="1:6">
      <c r="A225" s="13">
        <v>258</v>
      </c>
      <c r="B225" s="12">
        <v>2002</v>
      </c>
      <c r="C225" s="12">
        <v>14</v>
      </c>
      <c r="D225" s="12">
        <v>0.996940179427581</v>
      </c>
      <c r="E225" s="12">
        <v>0.999762520553088</v>
      </c>
      <c r="F225" s="12">
        <v>0.997176988467275</v>
      </c>
    </row>
    <row r="226" spans="1:6">
      <c r="A226" s="13">
        <v>259</v>
      </c>
      <c r="B226" s="12">
        <v>2002</v>
      </c>
      <c r="C226" s="12">
        <v>15</v>
      </c>
      <c r="D226" s="12">
        <v>1.00225394978491</v>
      </c>
      <c r="E226" s="12">
        <v>1.00325681780119</v>
      </c>
      <c r="F226" s="12">
        <v>0.999000387539374</v>
      </c>
    </row>
    <row r="227" spans="1:6">
      <c r="A227" s="13">
        <v>260</v>
      </c>
      <c r="B227" s="12">
        <v>2002</v>
      </c>
      <c r="C227" s="12">
        <v>16</v>
      </c>
      <c r="D227" s="12">
        <v>0.997296675143828</v>
      </c>
      <c r="E227" s="12">
        <v>0.988267086233239</v>
      </c>
      <c r="F227" s="12">
        <v>1.00913679008071</v>
      </c>
    </row>
    <row r="228" spans="1:6">
      <c r="A228" s="13">
        <v>261</v>
      </c>
      <c r="B228" s="12">
        <v>2002</v>
      </c>
      <c r="C228" s="12">
        <v>17</v>
      </c>
      <c r="D228" s="12">
        <v>0.98985223677738</v>
      </c>
      <c r="E228" s="12">
        <v>1.01043635927699</v>
      </c>
      <c r="F228" s="12">
        <v>0.97962848198145</v>
      </c>
    </row>
    <row r="229" spans="1:6">
      <c r="A229" s="13">
        <v>262</v>
      </c>
      <c r="B229" s="12">
        <v>2002</v>
      </c>
      <c r="C229" s="12">
        <v>18</v>
      </c>
      <c r="D229" s="12">
        <v>1.0347437272332</v>
      </c>
      <c r="E229" s="12">
        <v>0.999461163286749</v>
      </c>
      <c r="F229" s="12">
        <v>1.03530158573689</v>
      </c>
    </row>
    <row r="230" spans="1:6">
      <c r="A230" s="13">
        <v>263</v>
      </c>
      <c r="B230" s="12">
        <v>2002</v>
      </c>
      <c r="C230" s="12">
        <v>19</v>
      </c>
      <c r="D230" s="12">
        <v>0.998894980679128</v>
      </c>
      <c r="E230" s="12">
        <v>0.990652845058884</v>
      </c>
      <c r="F230" s="12">
        <v>1.00831990304308</v>
      </c>
    </row>
    <row r="231" spans="1:6">
      <c r="A231" s="13">
        <v>264</v>
      </c>
      <c r="B231" s="12">
        <v>2002</v>
      </c>
      <c r="C231" s="12">
        <v>20</v>
      </c>
      <c r="D231" s="12">
        <v>0.99967609963513</v>
      </c>
      <c r="E231" s="12">
        <v>0.999981050173811</v>
      </c>
      <c r="F231" s="12">
        <v>0.99969504368245</v>
      </c>
    </row>
    <row r="232" spans="1:6">
      <c r="A232" s="13">
        <v>265</v>
      </c>
      <c r="B232" s="12">
        <v>2002</v>
      </c>
      <c r="C232" s="12">
        <v>21</v>
      </c>
      <c r="D232" s="12">
        <v>0.996678004726879</v>
      </c>
      <c r="E232" s="12">
        <v>0.999865211654718</v>
      </c>
      <c r="F232" s="12">
        <v>0.9968123634159</v>
      </c>
    </row>
    <row r="233" spans="1:6">
      <c r="A233" s="13">
        <v>266</v>
      </c>
      <c r="B233" s="12">
        <v>2002</v>
      </c>
      <c r="C233" s="12">
        <v>22</v>
      </c>
      <c r="D233" s="12">
        <v>0.99401830719822</v>
      </c>
      <c r="E233" s="12">
        <v>0.988968815186449</v>
      </c>
      <c r="F233" s="12">
        <v>1.0051058152029</v>
      </c>
    </row>
    <row r="234" spans="1:6">
      <c r="A234" s="13">
        <v>267</v>
      </c>
      <c r="B234" s="12">
        <v>2002</v>
      </c>
      <c r="C234" s="12">
        <v>23</v>
      </c>
      <c r="D234" s="12">
        <v>1.03138225423597</v>
      </c>
      <c r="E234" s="12">
        <v>1.01677480741385</v>
      </c>
      <c r="F234" s="12">
        <v>1.01436645235072</v>
      </c>
    </row>
    <row r="235" spans="1:6">
      <c r="A235" s="13">
        <v>268</v>
      </c>
      <c r="B235" s="12">
        <v>2002</v>
      </c>
      <c r="C235" s="12">
        <v>24</v>
      </c>
      <c r="D235" s="12">
        <v>0.999658589537981</v>
      </c>
      <c r="E235" s="12">
        <v>1.0036939847125</v>
      </c>
      <c r="F235" s="12">
        <v>0.995979456651147</v>
      </c>
    </row>
    <row r="236" spans="1:6">
      <c r="A236" s="13">
        <v>269</v>
      </c>
      <c r="B236" s="12">
        <v>2002</v>
      </c>
      <c r="C236" s="12">
        <v>25</v>
      </c>
      <c r="D236" s="12">
        <v>1.00595910699248</v>
      </c>
      <c r="E236" s="12">
        <v>0.999837754498917</v>
      </c>
      <c r="F236" s="12">
        <v>1.00612234581663</v>
      </c>
    </row>
    <row r="237" spans="1:6">
      <c r="A237" s="13">
        <v>270</v>
      </c>
      <c r="B237" s="12">
        <v>2002</v>
      </c>
      <c r="C237" s="12">
        <v>26</v>
      </c>
      <c r="D237" s="12">
        <v>1.03050730343951</v>
      </c>
      <c r="E237" s="12">
        <v>1.08684458043774</v>
      </c>
      <c r="F237" s="12">
        <v>0.948164366817251</v>
      </c>
    </row>
    <row r="238" spans="1:6">
      <c r="A238" s="13">
        <v>271</v>
      </c>
      <c r="B238" s="12">
        <v>2002</v>
      </c>
      <c r="C238" s="12">
        <v>27</v>
      </c>
      <c r="D238" s="12">
        <v>1.00354255016223</v>
      </c>
      <c r="E238" s="12">
        <v>1.0025573827492</v>
      </c>
      <c r="F238" s="12">
        <v>1.00098265438965</v>
      </c>
    </row>
    <row r="239" spans="1:6">
      <c r="A239" s="13">
        <v>272</v>
      </c>
      <c r="B239" s="12">
        <v>2002</v>
      </c>
      <c r="C239" s="12">
        <v>28</v>
      </c>
      <c r="D239" s="12">
        <v>0.998282152416938</v>
      </c>
      <c r="E239" s="12">
        <v>0.99823724796232</v>
      </c>
      <c r="F239" s="12">
        <v>1.00004498374981</v>
      </c>
    </row>
    <row r="240" spans="1:6">
      <c r="A240" s="13">
        <v>273</v>
      </c>
      <c r="B240" s="12">
        <v>2002</v>
      </c>
      <c r="C240" s="12">
        <v>29</v>
      </c>
      <c r="D240" s="12">
        <v>1.00008713746067</v>
      </c>
      <c r="E240" s="12">
        <v>1.00042574223913</v>
      </c>
      <c r="F240" s="12">
        <v>0.999661539318555</v>
      </c>
    </row>
    <row r="241" spans="1:6">
      <c r="A241" s="13">
        <v>274</v>
      </c>
      <c r="B241" s="12">
        <v>2002</v>
      </c>
      <c r="C241" s="12">
        <v>30</v>
      </c>
      <c r="D241" s="12">
        <v>1.00252917918993</v>
      </c>
      <c r="E241" s="12">
        <v>1.00146524738882</v>
      </c>
      <c r="F241" s="12">
        <v>1.00106237515869</v>
      </c>
    </row>
    <row r="242" spans="1:6">
      <c r="A242" s="13">
        <v>275</v>
      </c>
      <c r="B242" s="12">
        <v>2002</v>
      </c>
      <c r="C242" s="12">
        <v>31</v>
      </c>
      <c r="D242" s="12">
        <v>1.01658058161497</v>
      </c>
      <c r="E242" s="12">
        <v>0.986356447540741</v>
      </c>
      <c r="F242" s="12">
        <v>1.0306422025725</v>
      </c>
    </row>
    <row r="243" spans="1:6">
      <c r="A243" s="13">
        <v>276</v>
      </c>
      <c r="B243" s="12">
        <v>2002</v>
      </c>
      <c r="C243" s="12">
        <v>32</v>
      </c>
      <c r="D243" s="12">
        <v>1.01088823990917</v>
      </c>
      <c r="E243" s="12">
        <v>0.9998710875159</v>
      </c>
      <c r="F243" s="12">
        <v>1.01101857282487</v>
      </c>
    </row>
    <row r="244" spans="1:6">
      <c r="A244" s="13">
        <v>277</v>
      </c>
      <c r="B244" s="12">
        <v>2002</v>
      </c>
      <c r="C244" s="12">
        <v>33</v>
      </c>
      <c r="D244" s="12">
        <v>0.953131035837514</v>
      </c>
      <c r="E244" s="12">
        <v>0.896165968475007</v>
      </c>
      <c r="F244" s="12">
        <v>1.06356530973771</v>
      </c>
    </row>
    <row r="245" spans="1:6">
      <c r="A245" s="13">
        <v>278</v>
      </c>
      <c r="B245" s="12">
        <v>2002</v>
      </c>
      <c r="C245" s="12">
        <v>34</v>
      </c>
      <c r="D245" s="12">
        <v>1.0098323141908</v>
      </c>
      <c r="E245" s="12">
        <v>0.99958608043683</v>
      </c>
      <c r="F245" s="12">
        <v>1.01025047662678</v>
      </c>
    </row>
    <row r="246" spans="1:6">
      <c r="A246" s="13">
        <v>279</v>
      </c>
      <c r="B246" s="12">
        <v>2002</v>
      </c>
      <c r="C246" s="12">
        <v>35</v>
      </c>
      <c r="D246" s="12">
        <v>1.02248041713986</v>
      </c>
      <c r="E246" s="12">
        <v>0.999581788838312</v>
      </c>
      <c r="F246" s="12">
        <v>1.02290820877015</v>
      </c>
    </row>
    <row r="247" spans="1:6">
      <c r="A247" s="13">
        <v>280</v>
      </c>
      <c r="B247" s="12">
        <v>2003</v>
      </c>
      <c r="C247" s="12">
        <v>1</v>
      </c>
      <c r="D247" s="12">
        <v>0.985907895135021</v>
      </c>
      <c r="E247" s="12">
        <v>0.988932895119134</v>
      </c>
      <c r="F247" s="12">
        <v>0.996941147373049</v>
      </c>
    </row>
    <row r="248" spans="1:6">
      <c r="A248" s="13">
        <v>281</v>
      </c>
      <c r="B248" s="12">
        <v>2003</v>
      </c>
      <c r="C248" s="12">
        <v>2</v>
      </c>
      <c r="D248" s="12">
        <v>1.01258464317175</v>
      </c>
      <c r="E248" s="12">
        <v>1.01034200367142</v>
      </c>
      <c r="F248" s="12">
        <v>1.00221968352517</v>
      </c>
    </row>
    <row r="249" spans="1:6">
      <c r="A249" s="13">
        <v>282</v>
      </c>
      <c r="B249" s="12">
        <v>2003</v>
      </c>
      <c r="C249" s="12">
        <v>3</v>
      </c>
      <c r="D249" s="12">
        <v>1.01555993057583</v>
      </c>
      <c r="E249" s="12">
        <v>1.00612977941834</v>
      </c>
      <c r="F249" s="12">
        <v>1.00937269858262</v>
      </c>
    </row>
    <row r="250" spans="1:6">
      <c r="A250" s="13">
        <v>283</v>
      </c>
      <c r="B250" s="12">
        <v>2003</v>
      </c>
      <c r="C250" s="12">
        <v>4</v>
      </c>
      <c r="D250" s="12">
        <v>0.993697303528934</v>
      </c>
      <c r="E250" s="12">
        <v>0.946798416374101</v>
      </c>
      <c r="F250" s="12">
        <v>1.04953418419777</v>
      </c>
    </row>
    <row r="251" spans="1:6">
      <c r="A251" s="13">
        <v>284</v>
      </c>
      <c r="B251" s="12">
        <v>2003</v>
      </c>
      <c r="C251" s="12">
        <v>5</v>
      </c>
      <c r="D251" s="12">
        <v>0.999730958630934</v>
      </c>
      <c r="E251" s="12">
        <v>0.99627966514206</v>
      </c>
      <c r="F251" s="12">
        <v>1.00346418140371</v>
      </c>
    </row>
    <row r="252" spans="1:6">
      <c r="A252" s="13">
        <v>285</v>
      </c>
      <c r="B252" s="12">
        <v>2003</v>
      </c>
      <c r="C252" s="12">
        <v>6</v>
      </c>
      <c r="D252" s="12">
        <v>0.993482199577145</v>
      </c>
      <c r="E252" s="12">
        <v>0.994060550771157</v>
      </c>
      <c r="F252" s="12">
        <v>0.999418193194003</v>
      </c>
    </row>
    <row r="253" spans="1:6">
      <c r="A253" s="13">
        <v>286</v>
      </c>
      <c r="B253" s="12">
        <v>2003</v>
      </c>
      <c r="C253" s="12">
        <v>7</v>
      </c>
      <c r="D253" s="12">
        <v>1.00109498735674</v>
      </c>
      <c r="E253" s="12">
        <v>1.00318456890893</v>
      </c>
      <c r="F253" s="12">
        <v>0.997917051740076</v>
      </c>
    </row>
    <row r="254" spans="1:6">
      <c r="A254" s="13">
        <v>287</v>
      </c>
      <c r="B254" s="12">
        <v>2003</v>
      </c>
      <c r="C254" s="12">
        <v>8</v>
      </c>
      <c r="D254" s="12">
        <v>0.997165105057703</v>
      </c>
      <c r="E254" s="12">
        <v>0.999826255749647</v>
      </c>
      <c r="F254" s="12">
        <v>0.997338386868077</v>
      </c>
    </row>
    <row r="255" spans="1:6">
      <c r="A255" s="13">
        <v>288</v>
      </c>
      <c r="B255" s="12">
        <v>2003</v>
      </c>
      <c r="C255" s="12">
        <v>9</v>
      </c>
      <c r="D255" s="12">
        <v>0.995763913827771</v>
      </c>
      <c r="E255" s="12">
        <v>0.997478979262107</v>
      </c>
      <c r="F255" s="12">
        <v>0.998280599922411</v>
      </c>
    </row>
    <row r="256" spans="1:6">
      <c r="A256" s="13">
        <v>289</v>
      </c>
      <c r="B256" s="12">
        <v>2003</v>
      </c>
      <c r="C256" s="12">
        <v>10</v>
      </c>
      <c r="D256" s="12">
        <v>1.06322624168973</v>
      </c>
      <c r="E256" s="12">
        <v>1.00010026910522</v>
      </c>
      <c r="F256" s="12">
        <v>1.06311964363432</v>
      </c>
    </row>
    <row r="257" spans="1:6">
      <c r="A257" s="13">
        <v>290</v>
      </c>
      <c r="B257" s="12">
        <v>2003</v>
      </c>
      <c r="C257" s="12">
        <v>11</v>
      </c>
      <c r="D257" s="12">
        <v>1.07186078580141</v>
      </c>
      <c r="E257" s="12">
        <v>1.04007974603766</v>
      </c>
      <c r="F257" s="12">
        <v>1.03055634905383</v>
      </c>
    </row>
    <row r="258" spans="1:6">
      <c r="A258" s="13">
        <v>291</v>
      </c>
      <c r="B258" s="12">
        <v>2003</v>
      </c>
      <c r="C258" s="12">
        <v>12</v>
      </c>
      <c r="D258" s="12">
        <v>0.996531865638436</v>
      </c>
      <c r="E258" s="12">
        <v>0.995670638193723</v>
      </c>
      <c r="F258" s="12">
        <v>1.00086497222242</v>
      </c>
    </row>
    <row r="259" spans="1:6">
      <c r="A259" s="13">
        <v>292</v>
      </c>
      <c r="B259" s="12">
        <v>2003</v>
      </c>
      <c r="C259" s="12">
        <v>13</v>
      </c>
      <c r="D259" s="12">
        <v>1.00185456288678</v>
      </c>
      <c r="E259" s="12">
        <v>1.00259022395205</v>
      </c>
      <c r="F259" s="12">
        <v>0.99926623953865</v>
      </c>
    </row>
    <row r="260" spans="1:6">
      <c r="A260" s="13">
        <v>293</v>
      </c>
      <c r="B260" s="12">
        <v>2003</v>
      </c>
      <c r="C260" s="12">
        <v>14</v>
      </c>
      <c r="D260" s="12">
        <v>0.994051041927243</v>
      </c>
      <c r="E260" s="12">
        <v>1.00000856212171</v>
      </c>
      <c r="F260" s="12">
        <v>0.994042530814111</v>
      </c>
    </row>
    <row r="261" spans="1:6">
      <c r="A261" s="13">
        <v>294</v>
      </c>
      <c r="B261" s="12">
        <v>2003</v>
      </c>
      <c r="C261" s="12">
        <v>15</v>
      </c>
      <c r="D261" s="12">
        <v>1.00751656796491</v>
      </c>
      <c r="E261" s="12">
        <v>1.00169707155957</v>
      </c>
      <c r="F261" s="12">
        <v>1.00580963703555</v>
      </c>
    </row>
    <row r="262" spans="1:6">
      <c r="A262" s="13">
        <v>295</v>
      </c>
      <c r="B262" s="12">
        <v>2003</v>
      </c>
      <c r="C262" s="12">
        <v>16</v>
      </c>
      <c r="D262" s="12">
        <v>0.998303279822054</v>
      </c>
      <c r="E262" s="12">
        <v>0.993751915888455</v>
      </c>
      <c r="F262" s="12">
        <v>1.00457998003408</v>
      </c>
    </row>
    <row r="263" spans="1:6">
      <c r="A263" s="13">
        <v>296</v>
      </c>
      <c r="B263" s="12">
        <v>2003</v>
      </c>
      <c r="C263" s="12">
        <v>17</v>
      </c>
      <c r="D263" s="12">
        <v>1.04559851566975</v>
      </c>
      <c r="E263" s="12">
        <v>1.04667990293431</v>
      </c>
      <c r="F263" s="12">
        <v>0.998966840519702</v>
      </c>
    </row>
    <row r="264" spans="1:6">
      <c r="A264" s="13">
        <v>297</v>
      </c>
      <c r="B264" s="12">
        <v>2003</v>
      </c>
      <c r="C264" s="12">
        <v>18</v>
      </c>
      <c r="D264" s="12">
        <v>1.03533897892327</v>
      </c>
      <c r="E264" s="12">
        <v>1.00035197966283</v>
      </c>
      <c r="F264" s="12">
        <v>1.03497468888124</v>
      </c>
    </row>
    <row r="265" spans="1:6">
      <c r="A265" s="13">
        <v>298</v>
      </c>
      <c r="B265" s="12">
        <v>2003</v>
      </c>
      <c r="C265" s="12">
        <v>19</v>
      </c>
      <c r="D265" s="12">
        <v>0.978010827026262</v>
      </c>
      <c r="E265" s="12">
        <v>0.970270493348368</v>
      </c>
      <c r="F265" s="12">
        <v>1.00797750084225</v>
      </c>
    </row>
    <row r="266" spans="1:6">
      <c r="A266" s="13">
        <v>299</v>
      </c>
      <c r="B266" s="12">
        <v>2003</v>
      </c>
      <c r="C266" s="12">
        <v>20</v>
      </c>
      <c r="D266" s="12">
        <v>1.00027865985576</v>
      </c>
      <c r="E266" s="12">
        <v>1.00001747477097</v>
      </c>
      <c r="F266" s="12">
        <v>1.00026118052072</v>
      </c>
    </row>
    <row r="267" spans="1:6">
      <c r="A267" s="13">
        <v>300</v>
      </c>
      <c r="B267" s="12">
        <v>2003</v>
      </c>
      <c r="C267" s="12">
        <v>21</v>
      </c>
      <c r="D267" s="12">
        <v>0.990563915760819</v>
      </c>
      <c r="E267" s="12">
        <v>0.999975497569229</v>
      </c>
      <c r="F267" s="12">
        <v>0.990588187579308</v>
      </c>
    </row>
    <row r="268" spans="1:6">
      <c r="A268" s="13">
        <v>301</v>
      </c>
      <c r="B268" s="12">
        <v>2003</v>
      </c>
      <c r="C268" s="12">
        <v>22</v>
      </c>
      <c r="D268" s="12">
        <v>0.981131144120881</v>
      </c>
      <c r="E268" s="12">
        <v>0.959688227787984</v>
      </c>
      <c r="F268" s="12">
        <v>1.02234362755738</v>
      </c>
    </row>
    <row r="269" spans="1:6">
      <c r="A269" s="13">
        <v>302</v>
      </c>
      <c r="B269" s="12">
        <v>2003</v>
      </c>
      <c r="C269" s="12">
        <v>23</v>
      </c>
      <c r="D269" s="12">
        <v>1.03002739912577</v>
      </c>
      <c r="E269" s="12">
        <v>1.02142977807373</v>
      </c>
      <c r="F269" s="12">
        <v>1.00841724143607</v>
      </c>
    </row>
    <row r="270" spans="1:6">
      <c r="A270" s="13">
        <v>303</v>
      </c>
      <c r="B270" s="12">
        <v>2003</v>
      </c>
      <c r="C270" s="12">
        <v>24</v>
      </c>
      <c r="D270" s="12">
        <v>1.00511089003977</v>
      </c>
      <c r="E270" s="12">
        <v>1.00356185484064</v>
      </c>
      <c r="F270" s="12">
        <v>1.00154353734318</v>
      </c>
    </row>
    <row r="271" spans="1:6">
      <c r="A271" s="13">
        <v>304</v>
      </c>
      <c r="B271" s="12">
        <v>2003</v>
      </c>
      <c r="C271" s="12">
        <v>25</v>
      </c>
      <c r="D271" s="12">
        <v>1.03728433984702</v>
      </c>
      <c r="E271" s="12">
        <v>1.00001227302308</v>
      </c>
      <c r="F271" s="12">
        <v>1.03727160938862</v>
      </c>
    </row>
    <row r="272" spans="1:6">
      <c r="A272" s="13">
        <v>305</v>
      </c>
      <c r="B272" s="12">
        <v>2003</v>
      </c>
      <c r="C272" s="12">
        <v>26</v>
      </c>
      <c r="D272" s="12">
        <v>0.994226340706175</v>
      </c>
      <c r="E272" s="12">
        <v>0.970615214734258</v>
      </c>
      <c r="F272" s="12">
        <v>1.02432593844965</v>
      </c>
    </row>
    <row r="273" spans="1:6">
      <c r="A273" s="13">
        <v>306</v>
      </c>
      <c r="B273" s="12">
        <v>2003</v>
      </c>
      <c r="C273" s="12">
        <v>27</v>
      </c>
      <c r="D273" s="12">
        <v>1.00261613972881</v>
      </c>
      <c r="E273" s="12">
        <v>1.00637326571824</v>
      </c>
      <c r="F273" s="12">
        <v>0.996266667530408</v>
      </c>
    </row>
    <row r="274" spans="1:6">
      <c r="A274" s="13">
        <v>307</v>
      </c>
      <c r="B274" s="12">
        <v>2003</v>
      </c>
      <c r="C274" s="12">
        <v>28</v>
      </c>
      <c r="D274" s="12">
        <v>1.00353845424379</v>
      </c>
      <c r="E274" s="12">
        <v>1.00591706150178</v>
      </c>
      <c r="F274" s="12">
        <v>0.997635384318427</v>
      </c>
    </row>
    <row r="275" spans="1:6">
      <c r="A275" s="13">
        <v>308</v>
      </c>
      <c r="B275" s="12">
        <v>2003</v>
      </c>
      <c r="C275" s="12">
        <v>29</v>
      </c>
      <c r="D275" s="12">
        <v>1.00025284378382</v>
      </c>
      <c r="E275" s="12">
        <v>1.00009780030308</v>
      </c>
      <c r="F275" s="12">
        <v>1.00015502831893</v>
      </c>
    </row>
    <row r="276" spans="1:6">
      <c r="A276" s="13">
        <v>309</v>
      </c>
      <c r="B276" s="12">
        <v>2003</v>
      </c>
      <c r="C276" s="12">
        <v>30</v>
      </c>
      <c r="D276" s="12">
        <v>1.01721477198404</v>
      </c>
      <c r="E276" s="12">
        <v>1.02080562577392</v>
      </c>
      <c r="F276" s="12">
        <v>0.996482333463678</v>
      </c>
    </row>
    <row r="277" spans="1:6">
      <c r="A277" s="13">
        <v>310</v>
      </c>
      <c r="B277" s="12">
        <v>2003</v>
      </c>
      <c r="C277" s="12">
        <v>31</v>
      </c>
      <c r="D277" s="12">
        <v>1.02961138576951</v>
      </c>
      <c r="E277" s="12">
        <v>1.02669661320695</v>
      </c>
      <c r="F277" s="12">
        <v>1.0028389813749</v>
      </c>
    </row>
    <row r="278" spans="1:6">
      <c r="A278" s="13">
        <v>311</v>
      </c>
      <c r="B278" s="12">
        <v>2003</v>
      </c>
      <c r="C278" s="12">
        <v>32</v>
      </c>
      <c r="D278" s="12">
        <v>0.997997212281927</v>
      </c>
      <c r="E278" s="12">
        <v>0.999897144526285</v>
      </c>
      <c r="F278" s="12">
        <v>0.998099872317108</v>
      </c>
    </row>
    <row r="279" spans="1:6">
      <c r="A279" s="13">
        <v>312</v>
      </c>
      <c r="B279" s="12">
        <v>2003</v>
      </c>
      <c r="C279" s="12">
        <v>33</v>
      </c>
      <c r="D279" s="12">
        <v>0.978189901835155</v>
      </c>
      <c r="E279" s="12">
        <v>0.947668309543687</v>
      </c>
      <c r="F279" s="12">
        <v>1.03220704120217</v>
      </c>
    </row>
    <row r="280" spans="1:6">
      <c r="A280" s="13">
        <v>313</v>
      </c>
      <c r="B280" s="12">
        <v>2003</v>
      </c>
      <c r="C280" s="12">
        <v>34</v>
      </c>
      <c r="D280" s="12">
        <v>1.04512833363763</v>
      </c>
      <c r="E280" s="12">
        <v>0.999881726340327</v>
      </c>
      <c r="F280" s="12">
        <v>1.04525195941215</v>
      </c>
    </row>
    <row r="281" spans="1:6">
      <c r="A281" s="13">
        <v>314</v>
      </c>
      <c r="B281" s="12">
        <v>2003</v>
      </c>
      <c r="C281" s="12">
        <v>35</v>
      </c>
      <c r="D281" s="12">
        <v>1.01263622497728</v>
      </c>
      <c r="E281" s="12">
        <v>0.999926014788514</v>
      </c>
      <c r="F281" s="12">
        <v>1.01271115062593</v>
      </c>
    </row>
    <row r="282" spans="1:6">
      <c r="A282" s="13">
        <v>315</v>
      </c>
      <c r="B282" s="12">
        <v>2004</v>
      </c>
      <c r="C282" s="12">
        <v>1</v>
      </c>
      <c r="D282" s="12">
        <v>1.03250064220998</v>
      </c>
      <c r="E282" s="12">
        <v>1.02614749261969</v>
      </c>
      <c r="F282" s="12">
        <v>1.00619126357175</v>
      </c>
    </row>
    <row r="283" spans="1:6">
      <c r="A283" s="13">
        <v>316</v>
      </c>
      <c r="B283" s="12">
        <v>2004</v>
      </c>
      <c r="C283" s="12">
        <v>2</v>
      </c>
      <c r="D283" s="12">
        <v>1.0137067870647</v>
      </c>
      <c r="E283" s="12">
        <v>1.00904751134138</v>
      </c>
      <c r="F283" s="12">
        <v>1.00461749885011</v>
      </c>
    </row>
    <row r="284" spans="1:6">
      <c r="A284" s="13">
        <v>317</v>
      </c>
      <c r="B284" s="12">
        <v>2004</v>
      </c>
      <c r="C284" s="12">
        <v>3</v>
      </c>
      <c r="D284" s="12">
        <v>1.00383188884608</v>
      </c>
      <c r="E284" s="12">
        <v>0.999975807445186</v>
      </c>
      <c r="F284" s="12">
        <v>1.00385617469161</v>
      </c>
    </row>
    <row r="285" spans="1:6">
      <c r="A285" s="13">
        <v>318</v>
      </c>
      <c r="B285" s="12">
        <v>2004</v>
      </c>
      <c r="C285" s="12">
        <v>4</v>
      </c>
      <c r="D285" s="12">
        <v>1.00977382421921</v>
      </c>
      <c r="E285" s="12">
        <v>0.951039849670405</v>
      </c>
      <c r="F285" s="12">
        <v>1.06175763777844</v>
      </c>
    </row>
    <row r="286" spans="1:6">
      <c r="A286" s="13">
        <v>319</v>
      </c>
      <c r="B286" s="12">
        <v>2004</v>
      </c>
      <c r="C286" s="12">
        <v>5</v>
      </c>
      <c r="D286" s="12">
        <v>0.995263836721548</v>
      </c>
      <c r="E286" s="12">
        <v>1.01603529181907</v>
      </c>
      <c r="F286" s="12">
        <v>0.979556364562559</v>
      </c>
    </row>
    <row r="287" spans="1:6">
      <c r="A287" s="13">
        <v>320</v>
      </c>
      <c r="B287" s="12">
        <v>2004</v>
      </c>
      <c r="C287" s="12">
        <v>6</v>
      </c>
      <c r="D287" s="12">
        <v>1.00214706647394</v>
      </c>
      <c r="E287" s="12">
        <v>1.00255515076073</v>
      </c>
      <c r="F287" s="12">
        <v>0.999592955772577</v>
      </c>
    </row>
    <row r="288" spans="1:6">
      <c r="A288" s="13">
        <v>321</v>
      </c>
      <c r="B288" s="12">
        <v>2004</v>
      </c>
      <c r="C288" s="12">
        <v>7</v>
      </c>
      <c r="D288" s="12">
        <v>1.01347686144823</v>
      </c>
      <c r="E288" s="12">
        <v>1.00001409424362</v>
      </c>
      <c r="F288" s="12">
        <v>1.01346257745976</v>
      </c>
    </row>
    <row r="289" spans="1:6">
      <c r="A289" s="13">
        <v>322</v>
      </c>
      <c r="B289" s="12">
        <v>2004</v>
      </c>
      <c r="C289" s="12">
        <v>8</v>
      </c>
      <c r="D289" s="12">
        <v>0.999544266976783</v>
      </c>
      <c r="E289" s="12">
        <v>1.00018615268471</v>
      </c>
      <c r="F289" s="12">
        <v>0.999358233758583</v>
      </c>
    </row>
    <row r="290" spans="1:6">
      <c r="A290" s="13">
        <v>323</v>
      </c>
      <c r="B290" s="12">
        <v>2004</v>
      </c>
      <c r="C290" s="12">
        <v>9</v>
      </c>
      <c r="D290" s="12">
        <v>1.00776922098472</v>
      </c>
      <c r="E290" s="12">
        <v>0.999539249192954</v>
      </c>
      <c r="F290" s="12">
        <v>1.00823376550586</v>
      </c>
    </row>
    <row r="291" spans="1:6">
      <c r="A291" s="13">
        <v>324</v>
      </c>
      <c r="B291" s="12">
        <v>2004</v>
      </c>
      <c r="C291" s="12">
        <v>10</v>
      </c>
      <c r="D291" s="12">
        <v>1.02148035140861</v>
      </c>
      <c r="E291" s="12">
        <v>0.999068439076641</v>
      </c>
      <c r="F291" s="12">
        <v>1.02243280986104</v>
      </c>
    </row>
    <row r="292" spans="1:6">
      <c r="A292" s="13">
        <v>325</v>
      </c>
      <c r="B292" s="12">
        <v>2004</v>
      </c>
      <c r="C292" s="12">
        <v>11</v>
      </c>
      <c r="D292" s="12">
        <v>1.06225441989902</v>
      </c>
      <c r="E292" s="12">
        <v>1.00267981625047</v>
      </c>
      <c r="F292" s="12">
        <v>1.05941538134409</v>
      </c>
    </row>
    <row r="293" spans="1:6">
      <c r="A293" s="13">
        <v>326</v>
      </c>
      <c r="B293" s="12">
        <v>2004</v>
      </c>
      <c r="C293" s="12">
        <v>12</v>
      </c>
      <c r="D293" s="12">
        <v>1.00535565097321</v>
      </c>
      <c r="E293" s="12">
        <v>1.00466593386567</v>
      </c>
      <c r="F293" s="12">
        <v>1.00068651387917</v>
      </c>
    </row>
    <row r="294" spans="1:6">
      <c r="A294" s="13">
        <v>327</v>
      </c>
      <c r="B294" s="12">
        <v>2004</v>
      </c>
      <c r="C294" s="12">
        <v>13</v>
      </c>
      <c r="D294" s="12">
        <v>1.00122090903053</v>
      </c>
      <c r="E294" s="12">
        <v>1.0013312338965</v>
      </c>
      <c r="F294" s="12">
        <v>0.999889821806981</v>
      </c>
    </row>
    <row r="295" spans="1:6">
      <c r="A295" s="13">
        <v>328</v>
      </c>
      <c r="B295" s="12">
        <v>2004</v>
      </c>
      <c r="C295" s="12">
        <v>14</v>
      </c>
      <c r="D295" s="12">
        <v>0.993840154226378</v>
      </c>
      <c r="E295" s="12">
        <v>1.00004776819871</v>
      </c>
      <c r="F295" s="12">
        <v>0.993792682540042</v>
      </c>
    </row>
    <row r="296" spans="1:6">
      <c r="A296" s="13">
        <v>329</v>
      </c>
      <c r="B296" s="12">
        <v>2004</v>
      </c>
      <c r="C296" s="12">
        <v>15</v>
      </c>
      <c r="D296" s="12">
        <v>0.99782407660969</v>
      </c>
      <c r="E296" s="12">
        <v>1.0000026816914</v>
      </c>
      <c r="F296" s="12">
        <v>0.997821400760621</v>
      </c>
    </row>
    <row r="297" spans="1:6">
      <c r="A297" s="13">
        <v>330</v>
      </c>
      <c r="B297" s="12">
        <v>2004</v>
      </c>
      <c r="C297" s="12">
        <v>16</v>
      </c>
      <c r="D297" s="12">
        <v>0.999683434089378</v>
      </c>
      <c r="E297" s="12">
        <v>0.994062373579858</v>
      </c>
      <c r="F297" s="12">
        <v>1.00565463562339</v>
      </c>
    </row>
    <row r="298" spans="1:6">
      <c r="A298" s="13">
        <v>331</v>
      </c>
      <c r="B298" s="12">
        <v>2004</v>
      </c>
      <c r="C298" s="12">
        <v>17</v>
      </c>
      <c r="D298" s="12">
        <v>1.02356871246839</v>
      </c>
      <c r="E298" s="12">
        <v>0.980886799142345</v>
      </c>
      <c r="F298" s="12">
        <v>1.04351359745422</v>
      </c>
    </row>
    <row r="299" spans="1:6">
      <c r="A299" s="13">
        <v>332</v>
      </c>
      <c r="B299" s="12">
        <v>2004</v>
      </c>
      <c r="C299" s="12">
        <v>18</v>
      </c>
      <c r="D299" s="12">
        <v>1.02724256655147</v>
      </c>
      <c r="E299" s="12">
        <v>0.999586695502639</v>
      </c>
      <c r="F299" s="12">
        <v>1.02766730607086</v>
      </c>
    </row>
    <row r="300" spans="1:6">
      <c r="A300" s="13">
        <v>333</v>
      </c>
      <c r="B300" s="12">
        <v>2004</v>
      </c>
      <c r="C300" s="12">
        <v>19</v>
      </c>
      <c r="D300" s="12">
        <v>1.00311732630627</v>
      </c>
      <c r="E300" s="12">
        <v>0.977516693181661</v>
      </c>
      <c r="F300" s="12">
        <v>1.02618945876135</v>
      </c>
    </row>
    <row r="301" spans="1:6">
      <c r="A301" s="13">
        <v>334</v>
      </c>
      <c r="B301" s="12">
        <v>2004</v>
      </c>
      <c r="C301" s="12">
        <v>20</v>
      </c>
      <c r="D301" s="12">
        <v>0.997499253141825</v>
      </c>
      <c r="E301" s="12">
        <v>1.00000421776906</v>
      </c>
      <c r="F301" s="12">
        <v>0.997495045938079</v>
      </c>
    </row>
    <row r="302" spans="1:6">
      <c r="A302" s="13">
        <v>335</v>
      </c>
      <c r="B302" s="12">
        <v>2004</v>
      </c>
      <c r="C302" s="12">
        <v>21</v>
      </c>
      <c r="D302" s="12">
        <v>0.994182792994508</v>
      </c>
      <c r="E302" s="12">
        <v>1.00000049528666</v>
      </c>
      <c r="F302" s="12">
        <v>0.994182300589275</v>
      </c>
    </row>
    <row r="303" spans="1:6">
      <c r="A303" s="13">
        <v>336</v>
      </c>
      <c r="B303" s="12">
        <v>2004</v>
      </c>
      <c r="C303" s="12">
        <v>22</v>
      </c>
      <c r="D303" s="12">
        <v>0.964769984833657</v>
      </c>
      <c r="E303" s="12">
        <v>0.942860660662505</v>
      </c>
      <c r="F303" s="12">
        <v>1.02323707530205</v>
      </c>
    </row>
    <row r="304" spans="1:6">
      <c r="A304" s="13">
        <v>337</v>
      </c>
      <c r="B304" s="12">
        <v>2004</v>
      </c>
      <c r="C304" s="12">
        <v>23</v>
      </c>
      <c r="D304" s="12">
        <v>1.02195745459648</v>
      </c>
      <c r="E304" s="12">
        <v>0.989383596876492</v>
      </c>
      <c r="F304" s="12">
        <v>1.03292338565428</v>
      </c>
    </row>
    <row r="305" spans="1:6">
      <c r="A305" s="13">
        <v>338</v>
      </c>
      <c r="B305" s="12">
        <v>2004</v>
      </c>
      <c r="C305" s="12">
        <v>24</v>
      </c>
      <c r="D305" s="12">
        <v>0.997925778905947</v>
      </c>
      <c r="E305" s="12">
        <v>0.997116666175344</v>
      </c>
      <c r="F305" s="12">
        <v>1.00081145241881</v>
      </c>
    </row>
    <row r="306" spans="1:6">
      <c r="A306" s="13">
        <v>339</v>
      </c>
      <c r="B306" s="12">
        <v>2004</v>
      </c>
      <c r="C306" s="12">
        <v>25</v>
      </c>
      <c r="D306" s="12">
        <v>0.990789992852075</v>
      </c>
      <c r="E306" s="12">
        <v>0.999722380469019</v>
      </c>
      <c r="F306" s="12">
        <v>0.991065131889162</v>
      </c>
    </row>
    <row r="307" spans="1:6">
      <c r="A307" s="13">
        <v>340</v>
      </c>
      <c r="B307" s="12">
        <v>2004</v>
      </c>
      <c r="C307" s="12">
        <v>26</v>
      </c>
      <c r="D307" s="12">
        <v>0.984032036295304</v>
      </c>
      <c r="E307" s="12">
        <v>0.933585729452107</v>
      </c>
      <c r="F307" s="12">
        <v>1.05403500209113</v>
      </c>
    </row>
    <row r="308" spans="1:6">
      <c r="A308" s="13">
        <v>341</v>
      </c>
      <c r="B308" s="12">
        <v>2004</v>
      </c>
      <c r="C308" s="12">
        <v>27</v>
      </c>
      <c r="D308" s="12">
        <v>1.00668967040166</v>
      </c>
      <c r="E308" s="12">
        <v>1.00242966962664</v>
      </c>
      <c r="F308" s="12">
        <v>1.00424967546761</v>
      </c>
    </row>
    <row r="309" spans="1:6">
      <c r="A309" s="13">
        <v>342</v>
      </c>
      <c r="B309" s="12">
        <v>2004</v>
      </c>
      <c r="C309" s="12">
        <v>28</v>
      </c>
      <c r="D309" s="12">
        <v>1.00411166322832</v>
      </c>
      <c r="E309" s="12">
        <v>1.00557941396213</v>
      </c>
      <c r="F309" s="12">
        <v>0.998540393017772</v>
      </c>
    </row>
    <row r="310" spans="1:6">
      <c r="A310" s="13">
        <v>343</v>
      </c>
      <c r="B310" s="12">
        <v>2004</v>
      </c>
      <c r="C310" s="12">
        <v>29</v>
      </c>
      <c r="D310" s="12">
        <v>0.997377195605734</v>
      </c>
      <c r="E310" s="12">
        <v>0.999112955884957</v>
      </c>
      <c r="F310" s="12">
        <v>0.998262698657845</v>
      </c>
    </row>
    <row r="311" spans="1:6">
      <c r="A311" s="13">
        <v>344</v>
      </c>
      <c r="B311" s="12">
        <v>2004</v>
      </c>
      <c r="C311" s="12">
        <v>30</v>
      </c>
      <c r="D311" s="12">
        <v>1.03045528007495</v>
      </c>
      <c r="E311" s="12">
        <v>1.00229020279722</v>
      </c>
      <c r="F311" s="12">
        <v>1.02810072092806</v>
      </c>
    </row>
    <row r="312" spans="1:6">
      <c r="A312" s="13">
        <v>345</v>
      </c>
      <c r="B312" s="12">
        <v>2004</v>
      </c>
      <c r="C312" s="12">
        <v>31</v>
      </c>
      <c r="D312" s="12">
        <v>1.01353029646754</v>
      </c>
      <c r="E312" s="12">
        <v>1.00009316241545</v>
      </c>
      <c r="F312" s="12">
        <v>1.01343588233283</v>
      </c>
    </row>
    <row r="313" spans="1:6">
      <c r="A313" s="13">
        <v>346</v>
      </c>
      <c r="B313" s="12">
        <v>2004</v>
      </c>
      <c r="C313" s="12">
        <v>32</v>
      </c>
      <c r="D313" s="12">
        <v>1.00367256252885</v>
      </c>
      <c r="E313" s="12">
        <v>0.99998958454729</v>
      </c>
      <c r="F313" s="12">
        <v>1.00368301634184</v>
      </c>
    </row>
    <row r="314" spans="1:6">
      <c r="A314" s="13">
        <v>347</v>
      </c>
      <c r="B314" s="12">
        <v>2004</v>
      </c>
      <c r="C314" s="12">
        <v>33</v>
      </c>
      <c r="D314" s="12">
        <v>0.965747349277578</v>
      </c>
      <c r="E314" s="12">
        <v>0.968754437417573</v>
      </c>
      <c r="F314" s="12">
        <v>0.99689592323519</v>
      </c>
    </row>
    <row r="315" spans="1:6">
      <c r="A315" s="13">
        <v>348</v>
      </c>
      <c r="B315" s="12">
        <v>2004</v>
      </c>
      <c r="C315" s="12">
        <v>34</v>
      </c>
      <c r="D315" s="12">
        <v>1.06105156955524</v>
      </c>
      <c r="E315" s="12">
        <v>1.0002847414403</v>
      </c>
      <c r="F315" s="12">
        <v>1.06074953020622</v>
      </c>
    </row>
    <row r="316" spans="1:6">
      <c r="A316" s="13">
        <v>349</v>
      </c>
      <c r="B316" s="12">
        <v>2004</v>
      </c>
      <c r="C316" s="12">
        <v>35</v>
      </c>
      <c r="D316" s="12">
        <v>0.98972745235868</v>
      </c>
      <c r="E316" s="12">
        <v>0.999849714580106</v>
      </c>
      <c r="F316" s="12">
        <v>0.989876216321493</v>
      </c>
    </row>
    <row r="317" spans="1:6">
      <c r="A317" s="13">
        <v>350</v>
      </c>
      <c r="B317" s="12">
        <v>2005</v>
      </c>
      <c r="C317" s="12">
        <v>1</v>
      </c>
      <c r="D317" s="12">
        <v>1.01403878166522</v>
      </c>
      <c r="E317" s="12">
        <v>1.0139525922281</v>
      </c>
      <c r="F317" s="12">
        <v>1.00008500341907</v>
      </c>
    </row>
    <row r="318" spans="1:6">
      <c r="A318" s="13">
        <v>351</v>
      </c>
      <c r="B318" s="12">
        <v>2005</v>
      </c>
      <c r="C318" s="12">
        <v>2</v>
      </c>
      <c r="D318" s="12">
        <v>1.00220949599906</v>
      </c>
      <c r="E318" s="12">
        <v>0.998712451309961</v>
      </c>
      <c r="F318" s="12">
        <v>1.00350155310922</v>
      </c>
    </row>
    <row r="319" spans="1:6">
      <c r="A319" s="13">
        <v>352</v>
      </c>
      <c r="B319" s="12">
        <v>2005</v>
      </c>
      <c r="C319" s="12">
        <v>3</v>
      </c>
      <c r="D319" s="12">
        <v>0.992892868423658</v>
      </c>
      <c r="E319" s="12">
        <v>0.986827134162072</v>
      </c>
      <c r="F319" s="12">
        <v>1.0061467039683</v>
      </c>
    </row>
    <row r="320" spans="1:6">
      <c r="A320" s="13">
        <v>353</v>
      </c>
      <c r="B320" s="12">
        <v>2005</v>
      </c>
      <c r="C320" s="12">
        <v>4</v>
      </c>
      <c r="D320" s="12">
        <v>1.00522860931126</v>
      </c>
      <c r="E320" s="12">
        <v>0.966977434549152</v>
      </c>
      <c r="F320" s="12">
        <v>1.03955746369608</v>
      </c>
    </row>
    <row r="321" spans="1:6">
      <c r="A321" s="13">
        <v>354</v>
      </c>
      <c r="B321" s="12">
        <v>2005</v>
      </c>
      <c r="C321" s="12">
        <v>5</v>
      </c>
      <c r="D321" s="12">
        <v>0.993783474578292</v>
      </c>
      <c r="E321" s="12">
        <v>0.978633869475017</v>
      </c>
      <c r="F321" s="12">
        <v>1.01548036050643</v>
      </c>
    </row>
    <row r="322" spans="1:6">
      <c r="A322" s="13">
        <v>355</v>
      </c>
      <c r="B322" s="12">
        <v>2005</v>
      </c>
      <c r="C322" s="12">
        <v>6</v>
      </c>
      <c r="D322" s="12">
        <v>1.00747739693637</v>
      </c>
      <c r="E322" s="12">
        <v>1.00849914316889</v>
      </c>
      <c r="F322" s="12">
        <v>0.998986864550714</v>
      </c>
    </row>
    <row r="323" spans="1:6">
      <c r="A323" s="13">
        <v>356</v>
      </c>
      <c r="B323" s="12">
        <v>2005</v>
      </c>
      <c r="C323" s="12">
        <v>7</v>
      </c>
      <c r="D323" s="12">
        <v>1.0068005032483</v>
      </c>
      <c r="E323" s="12">
        <v>1.00002878305058</v>
      </c>
      <c r="F323" s="12">
        <v>1.00677152529257</v>
      </c>
    </row>
    <row r="324" spans="1:6">
      <c r="A324" s="13">
        <v>357</v>
      </c>
      <c r="B324" s="12">
        <v>2005</v>
      </c>
      <c r="C324" s="12">
        <v>8</v>
      </c>
      <c r="D324" s="12">
        <v>0.999650454770217</v>
      </c>
      <c r="E324" s="12">
        <v>1.0000145180682</v>
      </c>
      <c r="F324" s="12">
        <v>0.999635941987435</v>
      </c>
    </row>
    <row r="325" spans="1:6">
      <c r="A325" s="13">
        <v>358</v>
      </c>
      <c r="B325" s="12">
        <v>2005</v>
      </c>
      <c r="C325" s="12">
        <v>9</v>
      </c>
      <c r="D325" s="12">
        <v>1.01014503134926</v>
      </c>
      <c r="E325" s="12">
        <v>0.999126639458192</v>
      </c>
      <c r="F325" s="12">
        <v>1.0110280233315</v>
      </c>
    </row>
    <row r="326" spans="1:6">
      <c r="A326" s="13">
        <v>359</v>
      </c>
      <c r="B326" s="12">
        <v>2005</v>
      </c>
      <c r="C326" s="12">
        <v>10</v>
      </c>
      <c r="D326" s="12">
        <v>0.99330290991009</v>
      </c>
      <c r="E326" s="12">
        <v>1</v>
      </c>
      <c r="F326" s="12">
        <v>0.99330290991009</v>
      </c>
    </row>
    <row r="327" spans="1:6">
      <c r="A327" s="13">
        <v>360</v>
      </c>
      <c r="B327" s="12">
        <v>2005</v>
      </c>
      <c r="C327" s="12">
        <v>11</v>
      </c>
      <c r="D327" s="12">
        <v>1.01046314223841</v>
      </c>
      <c r="E327" s="12">
        <v>1.01762741619232</v>
      </c>
      <c r="F327" s="12">
        <v>0.992959826121124</v>
      </c>
    </row>
    <row r="328" spans="1:6">
      <c r="A328" s="13">
        <v>361</v>
      </c>
      <c r="B328" s="12">
        <v>2005</v>
      </c>
      <c r="C328" s="12">
        <v>12</v>
      </c>
      <c r="D328" s="12">
        <v>1.00300042091679</v>
      </c>
      <c r="E328" s="12">
        <v>0.999990769949104</v>
      </c>
      <c r="F328" s="12">
        <v>1.00300967874718</v>
      </c>
    </row>
    <row r="329" spans="1:6">
      <c r="A329" s="13">
        <v>362</v>
      </c>
      <c r="B329" s="12">
        <v>2005</v>
      </c>
      <c r="C329" s="12">
        <v>13</v>
      </c>
      <c r="D329" s="12">
        <v>0.99356041486726</v>
      </c>
      <c r="E329" s="12">
        <v>0.993461053938161</v>
      </c>
      <c r="F329" s="12">
        <v>1.00010001492127</v>
      </c>
    </row>
    <row r="330" spans="1:6">
      <c r="A330" s="13">
        <v>363</v>
      </c>
      <c r="B330" s="12">
        <v>2005</v>
      </c>
      <c r="C330" s="12">
        <v>14</v>
      </c>
      <c r="D330" s="12">
        <v>0.993833619125538</v>
      </c>
      <c r="E330" s="12">
        <v>1.00002150709586</v>
      </c>
      <c r="F330" s="12">
        <v>0.993812245110319</v>
      </c>
    </row>
    <row r="331" spans="1:6">
      <c r="A331" s="13">
        <v>364</v>
      </c>
      <c r="B331" s="12">
        <v>2005</v>
      </c>
      <c r="C331" s="12">
        <v>15</v>
      </c>
      <c r="D331" s="12">
        <v>0.997031815328869</v>
      </c>
      <c r="E331" s="12">
        <v>0.999985190325245</v>
      </c>
      <c r="F331" s="12">
        <v>0.997046581264452</v>
      </c>
    </row>
    <row r="332" spans="1:6">
      <c r="A332" s="13">
        <v>365</v>
      </c>
      <c r="B332" s="12">
        <v>2005</v>
      </c>
      <c r="C332" s="12">
        <v>16</v>
      </c>
      <c r="D332" s="12">
        <v>1.00062973097787</v>
      </c>
      <c r="E332" s="12">
        <v>0.999405477097305</v>
      </c>
      <c r="F332" s="12">
        <v>1.00122498216052</v>
      </c>
    </row>
    <row r="333" spans="1:6">
      <c r="A333" s="13">
        <v>366</v>
      </c>
      <c r="B333" s="12">
        <v>2005</v>
      </c>
      <c r="C333" s="12">
        <v>17</v>
      </c>
      <c r="D333" s="12">
        <v>1.01425122103451</v>
      </c>
      <c r="E333" s="12">
        <v>0.993941684273514</v>
      </c>
      <c r="F333" s="12">
        <v>1.02043332831527</v>
      </c>
    </row>
    <row r="334" spans="1:6">
      <c r="A334" s="13">
        <v>367</v>
      </c>
      <c r="B334" s="12">
        <v>2005</v>
      </c>
      <c r="C334" s="12">
        <v>18</v>
      </c>
      <c r="D334" s="12">
        <v>0.98464899075793</v>
      </c>
      <c r="E334" s="12">
        <v>0.999837792216009</v>
      </c>
      <c r="F334" s="12">
        <v>0.984808734400393</v>
      </c>
    </row>
    <row r="335" spans="1:6">
      <c r="A335" s="13">
        <v>368</v>
      </c>
      <c r="B335" s="12">
        <v>2005</v>
      </c>
      <c r="C335" s="12">
        <v>19</v>
      </c>
      <c r="D335" s="12">
        <v>1.01615072292529</v>
      </c>
      <c r="E335" s="12">
        <v>1.02037725905841</v>
      </c>
      <c r="F335" s="12">
        <v>0.99585786914046</v>
      </c>
    </row>
    <row r="336" spans="1:6">
      <c r="A336" s="13">
        <v>369</v>
      </c>
      <c r="B336" s="12">
        <v>2005</v>
      </c>
      <c r="C336" s="12">
        <v>20</v>
      </c>
      <c r="D336" s="12">
        <v>0.999377023896803</v>
      </c>
      <c r="E336" s="12">
        <v>1.00001084012983</v>
      </c>
      <c r="F336" s="12">
        <v>0.99936619063755</v>
      </c>
    </row>
    <row r="337" spans="1:6">
      <c r="A337" s="13">
        <v>370</v>
      </c>
      <c r="B337" s="12">
        <v>2005</v>
      </c>
      <c r="C337" s="12">
        <v>21</v>
      </c>
      <c r="D337" s="12">
        <v>0.998521727553242</v>
      </c>
      <c r="E337" s="12">
        <v>1.00000961135626</v>
      </c>
      <c r="F337" s="12">
        <v>0.998512130497431</v>
      </c>
    </row>
    <row r="338" spans="1:6">
      <c r="A338" s="13">
        <v>371</v>
      </c>
      <c r="B338" s="12">
        <v>2005</v>
      </c>
      <c r="C338" s="12">
        <v>22</v>
      </c>
      <c r="D338" s="12">
        <v>1.00822685747194</v>
      </c>
      <c r="E338" s="12">
        <v>1.03207402444209</v>
      </c>
      <c r="F338" s="12">
        <v>0.976893937444996</v>
      </c>
    </row>
    <row r="339" spans="1:6">
      <c r="A339" s="13">
        <v>372</v>
      </c>
      <c r="B339" s="12">
        <v>2005</v>
      </c>
      <c r="C339" s="12">
        <v>23</v>
      </c>
      <c r="D339" s="12">
        <v>1.00049769801991</v>
      </c>
      <c r="E339" s="12">
        <v>0.999219315254788</v>
      </c>
      <c r="F339" s="12">
        <v>1.00127938155879</v>
      </c>
    </row>
    <row r="340" spans="1:6">
      <c r="A340" s="13">
        <v>373</v>
      </c>
      <c r="B340" s="12">
        <v>2005</v>
      </c>
      <c r="C340" s="12">
        <v>24</v>
      </c>
      <c r="D340" s="12">
        <v>1.00125021113785</v>
      </c>
      <c r="E340" s="12">
        <v>1.00147231803881</v>
      </c>
      <c r="F340" s="12">
        <v>0.999778219630273</v>
      </c>
    </row>
    <row r="341" spans="1:6">
      <c r="A341" s="13">
        <v>374</v>
      </c>
      <c r="B341" s="12">
        <v>2005</v>
      </c>
      <c r="C341" s="12">
        <v>25</v>
      </c>
      <c r="D341" s="12">
        <v>0.990555733409845</v>
      </c>
      <c r="E341" s="12">
        <v>1.00021413751547</v>
      </c>
      <c r="F341" s="12">
        <v>0.990343663678242</v>
      </c>
    </row>
    <row r="342" spans="1:6">
      <c r="A342" s="13">
        <v>375</v>
      </c>
      <c r="B342" s="12">
        <v>2005</v>
      </c>
      <c r="C342" s="12">
        <v>26</v>
      </c>
      <c r="D342" s="12">
        <v>1.00889832284885</v>
      </c>
      <c r="E342" s="12">
        <v>1.01916822403054</v>
      </c>
      <c r="F342" s="12">
        <v>0.989923252178064</v>
      </c>
    </row>
    <row r="343" spans="1:6">
      <c r="A343" s="13">
        <v>376</v>
      </c>
      <c r="B343" s="12">
        <v>2005</v>
      </c>
      <c r="C343" s="12">
        <v>27</v>
      </c>
      <c r="D343" s="12">
        <v>1.00158212577499</v>
      </c>
      <c r="E343" s="12">
        <v>0.999357263939117</v>
      </c>
      <c r="F343" s="12">
        <v>1.00222629275451</v>
      </c>
    </row>
    <row r="344" spans="1:6">
      <c r="A344" s="13">
        <v>377</v>
      </c>
      <c r="B344" s="12">
        <v>2005</v>
      </c>
      <c r="C344" s="12">
        <v>28</v>
      </c>
      <c r="D344" s="12">
        <v>0.995761409021444</v>
      </c>
      <c r="E344" s="12">
        <v>0.995820889899937</v>
      </c>
      <c r="F344" s="12">
        <v>0.999940269501176</v>
      </c>
    </row>
    <row r="345" spans="1:6">
      <c r="A345" s="13">
        <v>378</v>
      </c>
      <c r="B345" s="12">
        <v>2005</v>
      </c>
      <c r="C345" s="12">
        <v>29</v>
      </c>
      <c r="D345" s="12">
        <v>1.00019028192731</v>
      </c>
      <c r="E345" s="12">
        <v>1.00016905369952</v>
      </c>
      <c r="F345" s="12">
        <v>1.00002122463968</v>
      </c>
    </row>
    <row r="346" spans="1:6">
      <c r="A346" s="13">
        <v>379</v>
      </c>
      <c r="B346" s="12">
        <v>2005</v>
      </c>
      <c r="C346" s="12">
        <v>30</v>
      </c>
      <c r="D346" s="12">
        <v>1.01556787743198</v>
      </c>
      <c r="E346" s="12">
        <v>1.00930294653672</v>
      </c>
      <c r="F346" s="12">
        <v>1.00620718577782</v>
      </c>
    </row>
    <row r="347" spans="1:6">
      <c r="A347" s="13">
        <v>380</v>
      </c>
      <c r="B347" s="12">
        <v>2005</v>
      </c>
      <c r="C347" s="12">
        <v>31</v>
      </c>
      <c r="D347" s="12">
        <v>0.996264740055311</v>
      </c>
      <c r="E347" s="12">
        <v>1.00011151040888</v>
      </c>
      <c r="F347" s="12">
        <v>0.996153658553539</v>
      </c>
    </row>
    <row r="348" spans="1:6">
      <c r="A348" s="13">
        <v>381</v>
      </c>
      <c r="B348" s="12">
        <v>2005</v>
      </c>
      <c r="C348" s="12">
        <v>32</v>
      </c>
      <c r="D348" s="12">
        <v>1.00678271706654</v>
      </c>
      <c r="E348" s="12">
        <v>1.00006684730661</v>
      </c>
      <c r="F348" s="12">
        <v>1.00671542085213</v>
      </c>
    </row>
    <row r="349" spans="1:6">
      <c r="A349" s="13">
        <v>382</v>
      </c>
      <c r="B349" s="12">
        <v>2005</v>
      </c>
      <c r="C349" s="12">
        <v>33</v>
      </c>
      <c r="D349" s="12">
        <v>1.00571699469313</v>
      </c>
      <c r="E349" s="12">
        <v>1.01309731603818</v>
      </c>
      <c r="F349" s="12">
        <v>0.992715091405125</v>
      </c>
    </row>
    <row r="350" spans="1:6">
      <c r="A350" s="13">
        <v>383</v>
      </c>
      <c r="B350" s="12">
        <v>2005</v>
      </c>
      <c r="C350" s="12">
        <v>34</v>
      </c>
      <c r="D350" s="12">
        <v>1.00426226432312</v>
      </c>
      <c r="E350" s="12">
        <v>1.00012273797636</v>
      </c>
      <c r="F350" s="12">
        <v>1.00413901833202</v>
      </c>
    </row>
    <row r="351" spans="1:6">
      <c r="A351" s="13">
        <v>384</v>
      </c>
      <c r="B351" s="12">
        <v>2005</v>
      </c>
      <c r="C351" s="12">
        <v>35</v>
      </c>
      <c r="D351" s="12">
        <v>0.993590471480052</v>
      </c>
      <c r="E351" s="12">
        <v>1.00009876832274</v>
      </c>
      <c r="F351" s="12">
        <v>0.993492345907396</v>
      </c>
    </row>
    <row r="352" spans="1:6">
      <c r="A352" s="13">
        <v>385</v>
      </c>
      <c r="B352" s="12">
        <v>2006</v>
      </c>
      <c r="C352" s="12">
        <v>1</v>
      </c>
      <c r="D352" s="12">
        <v>0.992215249058513</v>
      </c>
      <c r="E352" s="12">
        <v>0.988631050964781</v>
      </c>
      <c r="F352" s="12">
        <v>1.003625415255</v>
      </c>
    </row>
    <row r="353" spans="1:6">
      <c r="A353" s="13">
        <v>386</v>
      </c>
      <c r="B353" s="12">
        <v>2006</v>
      </c>
      <c r="C353" s="12">
        <v>2</v>
      </c>
      <c r="D353" s="12">
        <v>1.00475740305338</v>
      </c>
      <c r="E353" s="12">
        <v>1.0005802751281</v>
      </c>
      <c r="F353" s="12">
        <v>1.00417470544754</v>
      </c>
    </row>
    <row r="354" spans="1:6">
      <c r="A354" s="13">
        <v>387</v>
      </c>
      <c r="B354" s="12">
        <v>2006</v>
      </c>
      <c r="C354" s="12">
        <v>3</v>
      </c>
      <c r="D354" s="12">
        <v>1.00128144338787</v>
      </c>
      <c r="E354" s="12">
        <v>1.00077015515373</v>
      </c>
      <c r="F354" s="12">
        <v>1.00051089476591</v>
      </c>
    </row>
    <row r="355" spans="1:6">
      <c r="A355" s="13">
        <v>388</v>
      </c>
      <c r="B355" s="12">
        <v>2006</v>
      </c>
      <c r="C355" s="12">
        <v>4</v>
      </c>
      <c r="D355" s="12">
        <v>1.00528019379949</v>
      </c>
      <c r="E355" s="12">
        <v>1.02002008769262</v>
      </c>
      <c r="F355" s="12">
        <v>0.985549408221485</v>
      </c>
    </row>
    <row r="356" spans="1:6">
      <c r="A356" s="13">
        <v>389</v>
      </c>
      <c r="B356" s="12">
        <v>2006</v>
      </c>
      <c r="C356" s="12">
        <v>5</v>
      </c>
      <c r="D356" s="12">
        <v>1.00159717419483</v>
      </c>
      <c r="E356" s="12">
        <v>1.01904061259603</v>
      </c>
      <c r="F356" s="12">
        <v>0.982882489485117</v>
      </c>
    </row>
    <row r="357" spans="1:6">
      <c r="A357" s="13">
        <v>390</v>
      </c>
      <c r="B357" s="12">
        <v>2006</v>
      </c>
      <c r="C357" s="12">
        <v>6</v>
      </c>
      <c r="D357" s="12">
        <v>0.999359409671887</v>
      </c>
      <c r="E357" s="12">
        <v>0.99811033672761</v>
      </c>
      <c r="F357" s="12">
        <v>1.00125143774021</v>
      </c>
    </row>
    <row r="358" spans="1:6">
      <c r="A358" s="13">
        <v>391</v>
      </c>
      <c r="B358" s="12">
        <v>2006</v>
      </c>
      <c r="C358" s="12">
        <v>7</v>
      </c>
      <c r="D358" s="12">
        <v>0.98613294688193</v>
      </c>
      <c r="E358" s="12">
        <v>0.999949691091944</v>
      </c>
      <c r="F358" s="12">
        <v>0.986182560649699</v>
      </c>
    </row>
    <row r="359" spans="1:6">
      <c r="A359" s="13">
        <v>392</v>
      </c>
      <c r="B359" s="12">
        <v>2006</v>
      </c>
      <c r="C359" s="12">
        <v>8</v>
      </c>
      <c r="D359" s="12">
        <v>0.99918924244424</v>
      </c>
      <c r="E359" s="12">
        <v>0.999995244198575</v>
      </c>
      <c r="F359" s="12">
        <v>0.999193994412462</v>
      </c>
    </row>
    <row r="360" spans="1:6">
      <c r="A360" s="13">
        <v>393</v>
      </c>
      <c r="B360" s="12">
        <v>2006</v>
      </c>
      <c r="C360" s="12">
        <v>9</v>
      </c>
      <c r="D360" s="12">
        <v>0.997398208763645</v>
      </c>
      <c r="E360" s="12">
        <v>1.00917253770558</v>
      </c>
      <c r="F360" s="12">
        <v>0.988332689899885</v>
      </c>
    </row>
    <row r="361" spans="1:6">
      <c r="A361" s="13">
        <v>394</v>
      </c>
      <c r="B361" s="12">
        <v>2006</v>
      </c>
      <c r="C361" s="12">
        <v>10</v>
      </c>
      <c r="D361" s="12">
        <v>0.996406423166748</v>
      </c>
      <c r="E361" s="12">
        <v>1</v>
      </c>
      <c r="F361" s="12">
        <v>0.996406423166748</v>
      </c>
    </row>
    <row r="362" spans="1:6">
      <c r="A362" s="13">
        <v>395</v>
      </c>
      <c r="B362" s="12">
        <v>2006</v>
      </c>
      <c r="C362" s="12">
        <v>11</v>
      </c>
      <c r="D362" s="12">
        <v>0.973387141803785</v>
      </c>
      <c r="E362" s="12">
        <v>0.959930645988065</v>
      </c>
      <c r="F362" s="12">
        <v>1.01401819586859</v>
      </c>
    </row>
    <row r="363" spans="1:6">
      <c r="A363" s="13">
        <v>396</v>
      </c>
      <c r="B363" s="12">
        <v>2006</v>
      </c>
      <c r="C363" s="12">
        <v>12</v>
      </c>
      <c r="D363" s="12">
        <v>0.998703617440391</v>
      </c>
      <c r="E363" s="12">
        <v>0.995761162758337</v>
      </c>
      <c r="F363" s="12">
        <v>1.00295498036286</v>
      </c>
    </row>
    <row r="364" spans="1:6">
      <c r="A364" s="13">
        <v>397</v>
      </c>
      <c r="B364" s="12">
        <v>2006</v>
      </c>
      <c r="C364" s="12">
        <v>13</v>
      </c>
      <c r="D364" s="12">
        <v>1.00354188475649</v>
      </c>
      <c r="E364" s="12">
        <v>0.99965861682557</v>
      </c>
      <c r="F364" s="12">
        <v>1.00388459406598</v>
      </c>
    </row>
    <row r="365" spans="1:6">
      <c r="A365" s="13">
        <v>398</v>
      </c>
      <c r="B365" s="12">
        <v>2006</v>
      </c>
      <c r="C365" s="12">
        <v>14</v>
      </c>
      <c r="D365" s="12">
        <v>0.994772452092065</v>
      </c>
      <c r="E365" s="12">
        <v>0.999963936488234</v>
      </c>
      <c r="F365" s="12">
        <v>0.99480832837392</v>
      </c>
    </row>
    <row r="366" spans="1:6">
      <c r="A366" s="13">
        <v>399</v>
      </c>
      <c r="B366" s="12">
        <v>2006</v>
      </c>
      <c r="C366" s="12">
        <v>15</v>
      </c>
      <c r="D366" s="12">
        <v>0.999309204691062</v>
      </c>
      <c r="E366" s="12">
        <v>1.00000661258324</v>
      </c>
      <c r="F366" s="12">
        <v>0.999302596719455</v>
      </c>
    </row>
    <row r="367" spans="1:6">
      <c r="A367" s="13">
        <v>400</v>
      </c>
      <c r="B367" s="12">
        <v>2006</v>
      </c>
      <c r="C367" s="12">
        <v>16</v>
      </c>
      <c r="D367" s="12">
        <v>1.00126322673946</v>
      </c>
      <c r="E367" s="12">
        <v>0.997670179603621</v>
      </c>
      <c r="F367" s="12">
        <v>1.00360143783917</v>
      </c>
    </row>
    <row r="368" spans="1:6">
      <c r="A368" s="13">
        <v>401</v>
      </c>
      <c r="B368" s="12">
        <v>2006</v>
      </c>
      <c r="C368" s="12">
        <v>17</v>
      </c>
      <c r="D368" s="12">
        <v>0.996757775888034</v>
      </c>
      <c r="E368" s="12">
        <v>0.980344271742039</v>
      </c>
      <c r="F368" s="12">
        <v>1.01674259198437</v>
      </c>
    </row>
    <row r="369" spans="1:6">
      <c r="A369" s="13">
        <v>402</v>
      </c>
      <c r="B369" s="12">
        <v>2006</v>
      </c>
      <c r="C369" s="12">
        <v>18</v>
      </c>
      <c r="D369" s="12">
        <v>0.983429421326299</v>
      </c>
      <c r="E369" s="12">
        <v>0.999710060975888</v>
      </c>
      <c r="F369" s="12">
        <v>0.983714638588616</v>
      </c>
    </row>
    <row r="370" spans="1:6">
      <c r="A370" s="13">
        <v>403</v>
      </c>
      <c r="B370" s="12">
        <v>2006</v>
      </c>
      <c r="C370" s="12">
        <v>19</v>
      </c>
      <c r="D370" s="12">
        <v>1.0220491931979</v>
      </c>
      <c r="E370" s="12">
        <v>1.0142577523532</v>
      </c>
      <c r="F370" s="12">
        <v>1.00768191401705</v>
      </c>
    </row>
    <row r="371" spans="1:6">
      <c r="A371" s="13">
        <v>404</v>
      </c>
      <c r="B371" s="12">
        <v>2006</v>
      </c>
      <c r="C371" s="12">
        <v>20</v>
      </c>
      <c r="D371" s="12">
        <v>1.00088330360091</v>
      </c>
      <c r="E371" s="12">
        <v>0.999989062350916</v>
      </c>
      <c r="F371" s="12">
        <v>1.000894251031</v>
      </c>
    </row>
    <row r="372" spans="1:6">
      <c r="A372" s="13">
        <v>405</v>
      </c>
      <c r="B372" s="12">
        <v>2006</v>
      </c>
      <c r="C372" s="12">
        <v>21</v>
      </c>
      <c r="D372" s="12">
        <v>1.00153603875018</v>
      </c>
      <c r="E372" s="12">
        <v>1.00012143174084</v>
      </c>
      <c r="F372" s="12">
        <v>1.001414435252</v>
      </c>
    </row>
    <row r="373" spans="1:6">
      <c r="A373" s="13">
        <v>406</v>
      </c>
      <c r="B373" s="12">
        <v>2006</v>
      </c>
      <c r="C373" s="12">
        <v>22</v>
      </c>
      <c r="D373" s="12">
        <v>0.975558739180669</v>
      </c>
      <c r="E373" s="12">
        <v>0.974063245109668</v>
      </c>
      <c r="F373" s="12">
        <v>1.00153531516409</v>
      </c>
    </row>
    <row r="374" spans="1:6">
      <c r="A374" s="13">
        <v>407</v>
      </c>
      <c r="B374" s="12">
        <v>2006</v>
      </c>
      <c r="C374" s="12">
        <v>23</v>
      </c>
      <c r="D374" s="12">
        <v>1.01068474859598</v>
      </c>
      <c r="E374" s="12">
        <v>1.01119729908132</v>
      </c>
      <c r="F374" s="12">
        <v>0.999493125144022</v>
      </c>
    </row>
    <row r="375" spans="1:6">
      <c r="A375" s="13">
        <v>408</v>
      </c>
      <c r="B375" s="12">
        <v>2006</v>
      </c>
      <c r="C375" s="12">
        <v>24</v>
      </c>
      <c r="D375" s="12">
        <v>1.00072058033752</v>
      </c>
      <c r="E375" s="12">
        <v>0.998931054787474</v>
      </c>
      <c r="F375" s="12">
        <v>1.00179144050179</v>
      </c>
    </row>
    <row r="376" spans="1:6">
      <c r="A376" s="13">
        <v>409</v>
      </c>
      <c r="B376" s="12">
        <v>2006</v>
      </c>
      <c r="C376" s="12">
        <v>25</v>
      </c>
      <c r="D376" s="12">
        <v>0.99332263666578</v>
      </c>
      <c r="E376" s="12">
        <v>0.999973536329963</v>
      </c>
      <c r="F376" s="12">
        <v>0.993348924323945</v>
      </c>
    </row>
    <row r="377" spans="1:6">
      <c r="A377" s="13">
        <v>410</v>
      </c>
      <c r="B377" s="12">
        <v>2006</v>
      </c>
      <c r="C377" s="12">
        <v>26</v>
      </c>
      <c r="D377" s="12">
        <v>0.965750956602611</v>
      </c>
      <c r="E377" s="12">
        <v>0.940763672679342</v>
      </c>
      <c r="F377" s="12">
        <v>1.02656063860555</v>
      </c>
    </row>
    <row r="378" spans="1:6">
      <c r="A378" s="13">
        <v>411</v>
      </c>
      <c r="B378" s="12">
        <v>2006</v>
      </c>
      <c r="C378" s="12">
        <v>27</v>
      </c>
      <c r="D378" s="12">
        <v>1.00314673476793</v>
      </c>
      <c r="E378" s="12">
        <v>0.998348740074244</v>
      </c>
      <c r="F378" s="12">
        <v>1.00480593053419</v>
      </c>
    </row>
    <row r="379" spans="1:6">
      <c r="A379" s="13">
        <v>412</v>
      </c>
      <c r="B379" s="12">
        <v>2006</v>
      </c>
      <c r="C379" s="12">
        <v>28</v>
      </c>
      <c r="D379" s="12">
        <v>1.00467865266061</v>
      </c>
      <c r="E379" s="12">
        <v>1.00330960574995</v>
      </c>
      <c r="F379" s="12">
        <v>1.0013645308515</v>
      </c>
    </row>
    <row r="380" spans="1:6">
      <c r="A380" s="13">
        <v>413</v>
      </c>
      <c r="B380" s="12">
        <v>2006</v>
      </c>
      <c r="C380" s="12">
        <v>29</v>
      </c>
      <c r="D380" s="12">
        <v>0.999617064229472</v>
      </c>
      <c r="E380" s="12">
        <v>0.997939333508992</v>
      </c>
      <c r="F380" s="12">
        <v>1.00168119510289</v>
      </c>
    </row>
    <row r="381" spans="1:6">
      <c r="A381" s="13">
        <v>414</v>
      </c>
      <c r="B381" s="12">
        <v>2006</v>
      </c>
      <c r="C381" s="12">
        <v>30</v>
      </c>
      <c r="D381" s="12">
        <v>1.01246102132332</v>
      </c>
      <c r="E381" s="12">
        <v>0.99860494142877</v>
      </c>
      <c r="F381" s="12">
        <v>1.01387543694178</v>
      </c>
    </row>
    <row r="382" spans="1:6">
      <c r="A382" s="13">
        <v>415</v>
      </c>
      <c r="B382" s="12">
        <v>2006</v>
      </c>
      <c r="C382" s="12">
        <v>31</v>
      </c>
      <c r="D382" s="12">
        <v>1.00342437086906</v>
      </c>
      <c r="E382" s="12">
        <v>0.999913305786613</v>
      </c>
      <c r="F382" s="12">
        <v>1.00351136949786</v>
      </c>
    </row>
    <row r="383" spans="1:6">
      <c r="A383" s="13">
        <v>416</v>
      </c>
      <c r="B383" s="12">
        <v>2006</v>
      </c>
      <c r="C383" s="12">
        <v>32</v>
      </c>
      <c r="D383" s="12">
        <v>0.99757995751253</v>
      </c>
      <c r="E383" s="12">
        <v>0.999941863444497</v>
      </c>
      <c r="F383" s="12">
        <v>0.997637956746975</v>
      </c>
    </row>
    <row r="384" spans="1:6">
      <c r="A384" s="13">
        <v>417</v>
      </c>
      <c r="B384" s="12">
        <v>2006</v>
      </c>
      <c r="C384" s="12">
        <v>33</v>
      </c>
      <c r="D384" s="12">
        <v>0.974373847009194</v>
      </c>
      <c r="E384" s="12">
        <v>0.969558525039907</v>
      </c>
      <c r="F384" s="12">
        <v>1.00496650985467</v>
      </c>
    </row>
    <row r="385" spans="1:6">
      <c r="A385" s="13">
        <v>418</v>
      </c>
      <c r="B385" s="12">
        <v>2006</v>
      </c>
      <c r="C385" s="12">
        <v>34</v>
      </c>
      <c r="D385" s="12">
        <v>1.00116816957963</v>
      </c>
      <c r="E385" s="12">
        <v>1.00003040731386</v>
      </c>
      <c r="F385" s="12">
        <v>1.00113772767053</v>
      </c>
    </row>
    <row r="386" spans="1:6">
      <c r="A386" s="13">
        <v>419</v>
      </c>
      <c r="B386" s="12">
        <v>2006</v>
      </c>
      <c r="C386" s="12">
        <v>35</v>
      </c>
      <c r="D386" s="12">
        <v>1.00775493631886</v>
      </c>
      <c r="E386" s="12">
        <v>1.00012940070288</v>
      </c>
      <c r="F386" s="12">
        <v>1.00762454899398</v>
      </c>
    </row>
    <row r="387" spans="1:6">
      <c r="A387" s="13">
        <v>420</v>
      </c>
      <c r="B387" s="12">
        <v>2007</v>
      </c>
      <c r="C387" s="12">
        <v>1</v>
      </c>
      <c r="D387" s="12">
        <v>1.0068587888434</v>
      </c>
      <c r="E387" s="12">
        <v>0.989653735963567</v>
      </c>
      <c r="F387" s="12">
        <v>1.01738492187177</v>
      </c>
    </row>
    <row r="388" spans="1:6">
      <c r="A388" s="13">
        <v>421</v>
      </c>
      <c r="B388" s="12">
        <v>2007</v>
      </c>
      <c r="C388" s="12">
        <v>2</v>
      </c>
      <c r="D388" s="12">
        <v>0.995885492645362</v>
      </c>
      <c r="E388" s="12">
        <v>0.98970429529996</v>
      </c>
      <c r="F388" s="12">
        <v>1.00624549916046</v>
      </c>
    </row>
    <row r="389" spans="1:6">
      <c r="A389" s="13">
        <v>422</v>
      </c>
      <c r="B389" s="12">
        <v>2007</v>
      </c>
      <c r="C389" s="12">
        <v>3</v>
      </c>
      <c r="D389" s="12">
        <v>1.00318254963471</v>
      </c>
      <c r="E389" s="12">
        <v>1.00861200176014</v>
      </c>
      <c r="F389" s="12">
        <v>0.994616907080269</v>
      </c>
    </row>
    <row r="390" spans="1:6">
      <c r="A390" s="13">
        <v>423</v>
      </c>
      <c r="B390" s="12">
        <v>2007</v>
      </c>
      <c r="C390" s="12">
        <v>4</v>
      </c>
      <c r="D390" s="12">
        <v>1.0187446364364</v>
      </c>
      <c r="E390" s="12">
        <v>0.986327838327281</v>
      </c>
      <c r="F390" s="12">
        <v>1.03286614941751</v>
      </c>
    </row>
    <row r="391" spans="1:6">
      <c r="A391" s="13">
        <v>424</v>
      </c>
      <c r="B391" s="12">
        <v>2007</v>
      </c>
      <c r="C391" s="12">
        <v>5</v>
      </c>
      <c r="D391" s="12">
        <v>1.00407601910867</v>
      </c>
      <c r="E391" s="12">
        <v>1.00788562313028</v>
      </c>
      <c r="F391" s="12">
        <v>0.996220202040604</v>
      </c>
    </row>
    <row r="392" spans="1:6">
      <c r="A392" s="13">
        <v>425</v>
      </c>
      <c r="B392" s="12">
        <v>2007</v>
      </c>
      <c r="C392" s="12">
        <v>6</v>
      </c>
      <c r="D392" s="12">
        <v>1.00405349301559</v>
      </c>
      <c r="E392" s="12">
        <v>1.00235588482516</v>
      </c>
      <c r="F392" s="12">
        <v>1.00169361822096</v>
      </c>
    </row>
    <row r="393" spans="1:6">
      <c r="A393" s="13">
        <v>426</v>
      </c>
      <c r="B393" s="12">
        <v>2007</v>
      </c>
      <c r="C393" s="12">
        <v>7</v>
      </c>
      <c r="D393" s="12">
        <v>1.00570343635592</v>
      </c>
      <c r="E393" s="12">
        <v>1.00000223301293</v>
      </c>
      <c r="F393" s="12">
        <v>1.00570119061216</v>
      </c>
    </row>
    <row r="394" spans="1:6">
      <c r="A394" s="13">
        <v>427</v>
      </c>
      <c r="B394" s="12">
        <v>2007</v>
      </c>
      <c r="C394" s="12">
        <v>8</v>
      </c>
      <c r="D394" s="12">
        <v>0.992696043287166</v>
      </c>
      <c r="E394" s="12">
        <v>0.999994926132958</v>
      </c>
      <c r="F394" s="12">
        <v>0.992701080120458</v>
      </c>
    </row>
    <row r="395" spans="1:6">
      <c r="A395" s="13">
        <v>428</v>
      </c>
      <c r="B395" s="12">
        <v>2007</v>
      </c>
      <c r="C395" s="12">
        <v>9</v>
      </c>
      <c r="D395" s="12">
        <v>0.99943471814537</v>
      </c>
      <c r="E395" s="12">
        <v>1.00242678166336</v>
      </c>
      <c r="F395" s="12">
        <v>0.997015179988479</v>
      </c>
    </row>
    <row r="396" spans="1:6">
      <c r="A396" s="13">
        <v>429</v>
      </c>
      <c r="B396" s="12">
        <v>2007</v>
      </c>
      <c r="C396" s="12">
        <v>10</v>
      </c>
      <c r="D396" s="12">
        <v>1.01970648948375</v>
      </c>
      <c r="E396" s="12">
        <v>1.00000078286589</v>
      </c>
      <c r="F396" s="12">
        <v>1.01970569119094</v>
      </c>
    </row>
    <row r="397" spans="1:6">
      <c r="A397" s="13">
        <v>430</v>
      </c>
      <c r="B397" s="12">
        <v>2007</v>
      </c>
      <c r="C397" s="12">
        <v>11</v>
      </c>
      <c r="D397" s="12">
        <v>1.01790565051053</v>
      </c>
      <c r="E397" s="12">
        <v>0.991850241271632</v>
      </c>
      <c r="F397" s="12">
        <v>1.02626949932027</v>
      </c>
    </row>
    <row r="398" spans="1:6">
      <c r="A398" s="13">
        <v>431</v>
      </c>
      <c r="B398" s="12">
        <v>2007</v>
      </c>
      <c r="C398" s="12">
        <v>12</v>
      </c>
      <c r="D398" s="12">
        <v>1.01486442756161</v>
      </c>
      <c r="E398" s="12">
        <v>1.00911284118666</v>
      </c>
      <c r="F398" s="12">
        <v>1.00569964640246</v>
      </c>
    </row>
    <row r="399" spans="1:6">
      <c r="A399" s="13">
        <v>432</v>
      </c>
      <c r="B399" s="12">
        <v>2007</v>
      </c>
      <c r="C399" s="12">
        <v>13</v>
      </c>
      <c r="D399" s="12">
        <v>1.00657637231573</v>
      </c>
      <c r="E399" s="12">
        <v>1.00507051855892</v>
      </c>
      <c r="F399" s="12">
        <v>1.00149825681781</v>
      </c>
    </row>
    <row r="400" spans="1:6">
      <c r="A400" s="13">
        <v>433</v>
      </c>
      <c r="B400" s="12">
        <v>2007</v>
      </c>
      <c r="C400" s="12">
        <v>14</v>
      </c>
      <c r="D400" s="12">
        <v>0.992453542189185</v>
      </c>
      <c r="E400" s="12">
        <v>1.00004824058922</v>
      </c>
      <c r="F400" s="12">
        <v>0.99240566795502</v>
      </c>
    </row>
    <row r="401" spans="1:6">
      <c r="A401" s="13">
        <v>434</v>
      </c>
      <c r="B401" s="12">
        <v>2007</v>
      </c>
      <c r="C401" s="12">
        <v>15</v>
      </c>
      <c r="D401" s="12">
        <v>1.00286296942266</v>
      </c>
      <c r="E401" s="12">
        <v>1.00000703186999</v>
      </c>
      <c r="F401" s="12">
        <v>1.00285591747023</v>
      </c>
    </row>
    <row r="402" spans="1:6">
      <c r="A402" s="13">
        <v>435</v>
      </c>
      <c r="B402" s="12">
        <v>2007</v>
      </c>
      <c r="C402" s="12">
        <v>16</v>
      </c>
      <c r="D402" s="12">
        <v>0.999780791497299</v>
      </c>
      <c r="E402" s="12">
        <v>0.996569195323149</v>
      </c>
      <c r="F402" s="12">
        <v>1.0032226524653</v>
      </c>
    </row>
    <row r="403" spans="1:6">
      <c r="A403" s="13">
        <v>436</v>
      </c>
      <c r="B403" s="12">
        <v>2007</v>
      </c>
      <c r="C403" s="12">
        <v>17</v>
      </c>
      <c r="D403" s="12">
        <v>1.04165594668954</v>
      </c>
      <c r="E403" s="12">
        <v>0.978997385084464</v>
      </c>
      <c r="F403" s="12">
        <v>1.06400278750455</v>
      </c>
    </row>
    <row r="404" spans="1:6">
      <c r="A404" s="13">
        <v>437</v>
      </c>
      <c r="B404" s="12">
        <v>2007</v>
      </c>
      <c r="C404" s="12">
        <v>18</v>
      </c>
      <c r="D404" s="12">
        <v>1.00631943896881</v>
      </c>
      <c r="E404" s="12">
        <v>0.932789637724384</v>
      </c>
      <c r="F404" s="12">
        <v>1.07882784957153</v>
      </c>
    </row>
    <row r="405" spans="1:6">
      <c r="A405" s="13">
        <v>438</v>
      </c>
      <c r="B405" s="12">
        <v>2007</v>
      </c>
      <c r="C405" s="12">
        <v>19</v>
      </c>
      <c r="D405" s="12">
        <v>1.01376358181309</v>
      </c>
      <c r="E405" s="12">
        <v>0.986204862332802</v>
      </c>
      <c r="F405" s="12">
        <v>1.02794421375605</v>
      </c>
    </row>
    <row r="406" spans="1:6">
      <c r="A406" s="13">
        <v>439</v>
      </c>
      <c r="B406" s="12">
        <v>2007</v>
      </c>
      <c r="C406" s="12">
        <v>20</v>
      </c>
      <c r="D406" s="12">
        <v>0.99857524149457</v>
      </c>
      <c r="E406" s="12">
        <v>0.999988350138853</v>
      </c>
      <c r="F406" s="12">
        <v>0.998586874893005</v>
      </c>
    </row>
    <row r="407" spans="1:6">
      <c r="A407" s="13">
        <v>440</v>
      </c>
      <c r="B407" s="12">
        <v>2007</v>
      </c>
      <c r="C407" s="12">
        <v>21</v>
      </c>
      <c r="D407" s="12">
        <v>0.988515520948362</v>
      </c>
      <c r="E407" s="12">
        <v>0.99985907866595</v>
      </c>
      <c r="F407" s="12">
        <v>0.988654843507824</v>
      </c>
    </row>
    <row r="408" spans="1:6">
      <c r="A408" s="13">
        <v>441</v>
      </c>
      <c r="B408" s="12">
        <v>2007</v>
      </c>
      <c r="C408" s="12">
        <v>22</v>
      </c>
      <c r="D408" s="12">
        <v>0.988393967139352</v>
      </c>
      <c r="E408" s="12">
        <v>0.991488237317839</v>
      </c>
      <c r="F408" s="12">
        <v>0.996879166023332</v>
      </c>
    </row>
    <row r="409" spans="1:6">
      <c r="A409" s="13">
        <v>442</v>
      </c>
      <c r="B409" s="12">
        <v>2007</v>
      </c>
      <c r="C409" s="12">
        <v>23</v>
      </c>
      <c r="D409" s="12">
        <v>0.989823825275234</v>
      </c>
      <c r="E409" s="12">
        <v>0.992129774000541</v>
      </c>
      <c r="F409" s="12">
        <v>0.997675758972529</v>
      </c>
    </row>
    <row r="410" spans="1:6">
      <c r="A410" s="13">
        <v>443</v>
      </c>
      <c r="B410" s="12">
        <v>2007</v>
      </c>
      <c r="C410" s="12">
        <v>24</v>
      </c>
      <c r="D410" s="12">
        <v>0.999367941451873</v>
      </c>
      <c r="E410" s="12">
        <v>0.996642096770549</v>
      </c>
      <c r="F410" s="12">
        <v>1.00273502864284</v>
      </c>
    </row>
    <row r="411" spans="1:6">
      <c r="A411" s="13">
        <v>444</v>
      </c>
      <c r="B411" s="12">
        <v>2007</v>
      </c>
      <c r="C411" s="12">
        <v>25</v>
      </c>
      <c r="D411" s="12">
        <v>0.991517064420097</v>
      </c>
      <c r="E411" s="12">
        <v>0.999831932102497</v>
      </c>
      <c r="F411" s="12">
        <v>0.991683734620363</v>
      </c>
    </row>
    <row r="412" spans="1:6">
      <c r="A412" s="13">
        <v>445</v>
      </c>
      <c r="B412" s="12">
        <v>2007</v>
      </c>
      <c r="C412" s="12">
        <v>26</v>
      </c>
      <c r="D412" s="12">
        <v>0.958986955023841</v>
      </c>
      <c r="E412" s="12">
        <v>0.913054687196789</v>
      </c>
      <c r="F412" s="12">
        <v>1.05030615194372</v>
      </c>
    </row>
    <row r="413" spans="1:6">
      <c r="A413" s="13">
        <v>446</v>
      </c>
      <c r="B413" s="12">
        <v>2007</v>
      </c>
      <c r="C413" s="12">
        <v>27</v>
      </c>
      <c r="D413" s="12">
        <v>1.00453365046029</v>
      </c>
      <c r="E413" s="12">
        <v>0.99968865366792</v>
      </c>
      <c r="F413" s="12">
        <v>1.00484650573415</v>
      </c>
    </row>
    <row r="414" spans="1:6">
      <c r="A414" s="13">
        <v>447</v>
      </c>
      <c r="B414" s="12">
        <v>2007</v>
      </c>
      <c r="C414" s="12">
        <v>28</v>
      </c>
      <c r="D414" s="12">
        <v>1.00851583745679</v>
      </c>
      <c r="E414" s="12">
        <v>1.00829340020197</v>
      </c>
      <c r="F414" s="12">
        <v>1.00022060766714</v>
      </c>
    </row>
    <row r="415" spans="1:6">
      <c r="A415" s="13">
        <v>448</v>
      </c>
      <c r="B415" s="12">
        <v>2007</v>
      </c>
      <c r="C415" s="12">
        <v>29</v>
      </c>
      <c r="D415" s="12">
        <v>0.999764932632164</v>
      </c>
      <c r="E415" s="12">
        <v>1.00021251905493</v>
      </c>
      <c r="F415" s="12">
        <v>0.999552508677671</v>
      </c>
    </row>
    <row r="416" spans="1:6">
      <c r="A416" s="13">
        <v>449</v>
      </c>
      <c r="B416" s="12">
        <v>2007</v>
      </c>
      <c r="C416" s="12">
        <v>30</v>
      </c>
      <c r="D416" s="12">
        <v>1.00841741354354</v>
      </c>
      <c r="E416" s="12">
        <v>0.980221062354364</v>
      </c>
      <c r="F416" s="12">
        <v>1.02876529822921</v>
      </c>
    </row>
    <row r="417" spans="1:6">
      <c r="A417" s="13">
        <v>450</v>
      </c>
      <c r="B417" s="12">
        <v>2007</v>
      </c>
      <c r="C417" s="12">
        <v>31</v>
      </c>
      <c r="D417" s="12">
        <v>0.990161849995336</v>
      </c>
      <c r="E417" s="12">
        <v>0.999897670347924</v>
      </c>
      <c r="F417" s="12">
        <v>0.990263183282345</v>
      </c>
    </row>
    <row r="418" spans="1:6">
      <c r="A418" s="13">
        <v>451</v>
      </c>
      <c r="B418" s="12">
        <v>2007</v>
      </c>
      <c r="C418" s="12">
        <v>32</v>
      </c>
      <c r="D418" s="12">
        <v>1.00870369355479</v>
      </c>
      <c r="E418" s="12">
        <v>0.999944480156821</v>
      </c>
      <c r="F418" s="12">
        <v>1.00875969973512</v>
      </c>
    </row>
    <row r="419" spans="1:6">
      <c r="A419" s="13">
        <v>452</v>
      </c>
      <c r="B419" s="12">
        <v>2007</v>
      </c>
      <c r="C419" s="12">
        <v>33</v>
      </c>
      <c r="D419" s="12">
        <v>1.00421108437296</v>
      </c>
      <c r="E419" s="12">
        <v>0.994061815404405</v>
      </c>
      <c r="F419" s="12">
        <v>1.01020989722297</v>
      </c>
    </row>
    <row r="420" spans="1:6">
      <c r="A420" s="13">
        <v>453</v>
      </c>
      <c r="B420" s="12">
        <v>2007</v>
      </c>
      <c r="C420" s="12">
        <v>34</v>
      </c>
      <c r="D420" s="12">
        <v>1.03647714749657</v>
      </c>
      <c r="E420" s="12">
        <v>0.99957149131231</v>
      </c>
      <c r="F420" s="12">
        <v>1.03692147735807</v>
      </c>
    </row>
    <row r="421" spans="1:6">
      <c r="A421" s="13">
        <v>454</v>
      </c>
      <c r="B421" s="12">
        <v>2007</v>
      </c>
      <c r="C421" s="12">
        <v>35</v>
      </c>
      <c r="D421" s="12">
        <v>1.04247640007324</v>
      </c>
      <c r="E421" s="12">
        <v>1.00004846543918</v>
      </c>
      <c r="F421" s="12">
        <v>1.04242587844523</v>
      </c>
    </row>
    <row r="422" spans="1:6">
      <c r="A422" s="13">
        <v>455</v>
      </c>
      <c r="B422" s="12">
        <v>2008</v>
      </c>
      <c r="C422" s="12">
        <v>1</v>
      </c>
      <c r="D422" s="12">
        <v>1.02833133722051</v>
      </c>
      <c r="E422" s="12">
        <v>1.08856458721762</v>
      </c>
      <c r="F422" s="12">
        <v>0.944667270362837</v>
      </c>
    </row>
    <row r="423" spans="1:6">
      <c r="A423" s="13">
        <v>456</v>
      </c>
      <c r="B423" s="12">
        <v>2008</v>
      </c>
      <c r="C423" s="12">
        <v>2</v>
      </c>
      <c r="D423" s="12">
        <v>0.995552477848189</v>
      </c>
      <c r="E423" s="12">
        <v>0.998097097292078</v>
      </c>
      <c r="F423" s="12">
        <v>0.997450529161148</v>
      </c>
    </row>
    <row r="424" spans="1:6">
      <c r="A424" s="13">
        <v>457</v>
      </c>
      <c r="B424" s="12">
        <v>2008</v>
      </c>
      <c r="C424" s="12">
        <v>3</v>
      </c>
      <c r="D424" s="12">
        <v>0.989215905815095</v>
      </c>
      <c r="E424" s="12">
        <v>0.98115656681859</v>
      </c>
      <c r="F424" s="12">
        <v>1.00821412124126</v>
      </c>
    </row>
    <row r="425" spans="1:6">
      <c r="A425" s="13">
        <v>458</v>
      </c>
      <c r="B425" s="12">
        <v>2008</v>
      </c>
      <c r="C425" s="12">
        <v>4</v>
      </c>
      <c r="D425" s="12">
        <v>1.00857982969513</v>
      </c>
      <c r="E425" s="12">
        <v>1.03770483811268</v>
      </c>
      <c r="F425" s="12">
        <v>0.971933244071098</v>
      </c>
    </row>
    <row r="426" spans="1:6">
      <c r="A426" s="13">
        <v>459</v>
      </c>
      <c r="B426" s="12">
        <v>2008</v>
      </c>
      <c r="C426" s="12">
        <v>5</v>
      </c>
      <c r="D426" s="12">
        <v>0.9999482022989</v>
      </c>
      <c r="E426" s="12">
        <v>0.974942183674539</v>
      </c>
      <c r="F426" s="12">
        <v>1.02564871952726</v>
      </c>
    </row>
    <row r="427" spans="1:6">
      <c r="A427" s="13">
        <v>460</v>
      </c>
      <c r="B427" s="12">
        <v>2008</v>
      </c>
      <c r="C427" s="12">
        <v>6</v>
      </c>
      <c r="D427" s="12">
        <v>1.01093737919883</v>
      </c>
      <c r="E427" s="12">
        <v>1.01555761384894</v>
      </c>
      <c r="F427" s="12">
        <v>0.995450544029105</v>
      </c>
    </row>
    <row r="428" spans="1:6">
      <c r="A428" s="13">
        <v>461</v>
      </c>
      <c r="B428" s="12">
        <v>2008</v>
      </c>
      <c r="C428" s="12">
        <v>7</v>
      </c>
      <c r="D428" s="12">
        <v>1.01103193513982</v>
      </c>
      <c r="E428" s="12">
        <v>1.00007158714923</v>
      </c>
      <c r="F428" s="12">
        <v>1.01095956342669</v>
      </c>
    </row>
    <row r="429" spans="1:6">
      <c r="A429" s="13">
        <v>462</v>
      </c>
      <c r="B429" s="12">
        <v>2008</v>
      </c>
      <c r="C429" s="12">
        <v>8</v>
      </c>
      <c r="D429" s="12">
        <v>1.00249787257885</v>
      </c>
      <c r="E429" s="12">
        <v>1.0000118504912</v>
      </c>
      <c r="F429" s="12">
        <v>1.00248599262741</v>
      </c>
    </row>
    <row r="430" spans="1:6">
      <c r="A430" s="13">
        <v>463</v>
      </c>
      <c r="B430" s="12">
        <v>2008</v>
      </c>
      <c r="C430" s="12">
        <v>9</v>
      </c>
      <c r="D430" s="12">
        <v>1.00330201682525</v>
      </c>
      <c r="E430" s="12">
        <v>0.994280874974272</v>
      </c>
      <c r="F430" s="12">
        <v>1.00907303165337</v>
      </c>
    </row>
    <row r="431" spans="1:6">
      <c r="A431" s="13">
        <v>464</v>
      </c>
      <c r="B431" s="12">
        <v>2008</v>
      </c>
      <c r="C431" s="12">
        <v>10</v>
      </c>
      <c r="D431" s="12">
        <v>1.03471520732781</v>
      </c>
      <c r="E431" s="12">
        <v>1.00007904000563</v>
      </c>
      <c r="F431" s="12">
        <v>1.03463342989568</v>
      </c>
    </row>
    <row r="432" spans="1:6">
      <c r="A432" s="13">
        <v>465</v>
      </c>
      <c r="B432" s="12">
        <v>2008</v>
      </c>
      <c r="C432" s="12">
        <v>11</v>
      </c>
      <c r="D432" s="12">
        <v>1.02861673225126</v>
      </c>
      <c r="E432" s="12">
        <v>1.05069406827608</v>
      </c>
      <c r="F432" s="12">
        <v>0.97898785508417</v>
      </c>
    </row>
    <row r="433" spans="1:6">
      <c r="A433" s="13">
        <v>466</v>
      </c>
      <c r="B433" s="12">
        <v>2008</v>
      </c>
      <c r="C433" s="12">
        <v>12</v>
      </c>
      <c r="D433" s="12">
        <v>1.01317741603316</v>
      </c>
      <c r="E433" s="12">
        <v>1.01613146684559</v>
      </c>
      <c r="F433" s="12">
        <v>0.997092845848383</v>
      </c>
    </row>
    <row r="434" spans="1:6">
      <c r="A434" s="13">
        <v>467</v>
      </c>
      <c r="B434" s="12">
        <v>2008</v>
      </c>
      <c r="C434" s="12">
        <v>13</v>
      </c>
      <c r="D434" s="12">
        <v>1.00497708445874</v>
      </c>
      <c r="E434" s="12">
        <v>1.00696337358842</v>
      </c>
      <c r="F434" s="12">
        <v>0.99802744649728</v>
      </c>
    </row>
    <row r="435" spans="1:6">
      <c r="A435" s="13">
        <v>468</v>
      </c>
      <c r="B435" s="12">
        <v>2008</v>
      </c>
      <c r="C435" s="12">
        <v>14</v>
      </c>
      <c r="D435" s="12">
        <v>1.00693570704893</v>
      </c>
      <c r="E435" s="12">
        <v>1.0009682550049</v>
      </c>
      <c r="F435" s="12">
        <v>1.00596167961791</v>
      </c>
    </row>
    <row r="436" spans="1:6">
      <c r="A436" s="13">
        <v>469</v>
      </c>
      <c r="B436" s="12">
        <v>2008</v>
      </c>
      <c r="C436" s="12">
        <v>15</v>
      </c>
      <c r="D436" s="12">
        <v>1.00326177706131</v>
      </c>
      <c r="E436" s="12">
        <v>0.999419762718128</v>
      </c>
      <c r="F436" s="12">
        <v>1.0038442449174</v>
      </c>
    </row>
    <row r="437" spans="1:6">
      <c r="A437" s="13">
        <v>470</v>
      </c>
      <c r="B437" s="12">
        <v>2008</v>
      </c>
      <c r="C437" s="12">
        <v>16</v>
      </c>
      <c r="D437" s="12">
        <v>1.00263976873353</v>
      </c>
      <c r="E437" s="12">
        <v>1.0067978998045</v>
      </c>
      <c r="F437" s="12">
        <v>0.995869944631612</v>
      </c>
    </row>
    <row r="438" spans="1:6">
      <c r="A438" s="13">
        <v>471</v>
      </c>
      <c r="B438" s="12">
        <v>2008</v>
      </c>
      <c r="C438" s="12">
        <v>17</v>
      </c>
      <c r="D438" s="12">
        <v>1.03959410362238</v>
      </c>
      <c r="E438" s="12">
        <v>1.07636681351173</v>
      </c>
      <c r="F438" s="12">
        <v>0.965836265641288</v>
      </c>
    </row>
    <row r="439" spans="1:6">
      <c r="A439" s="13">
        <v>472</v>
      </c>
      <c r="B439" s="12">
        <v>2008</v>
      </c>
      <c r="C439" s="12">
        <v>18</v>
      </c>
      <c r="D439" s="12">
        <v>1.03477738110652</v>
      </c>
      <c r="E439" s="12">
        <v>1.07245713857958</v>
      </c>
      <c r="F439" s="12">
        <v>0.964865954901499</v>
      </c>
    </row>
    <row r="440" spans="1:6">
      <c r="A440" s="13">
        <v>473</v>
      </c>
      <c r="B440" s="12">
        <v>2008</v>
      </c>
      <c r="C440" s="12">
        <v>19</v>
      </c>
      <c r="D440" s="12">
        <v>0.962038189932071</v>
      </c>
      <c r="E440" s="12">
        <v>0.952305114203645</v>
      </c>
      <c r="F440" s="12">
        <v>1.0102205433776</v>
      </c>
    </row>
    <row r="441" spans="1:6">
      <c r="A441" s="13">
        <v>474</v>
      </c>
      <c r="B441" s="12">
        <v>2008</v>
      </c>
      <c r="C441" s="12">
        <v>20</v>
      </c>
      <c r="D441" s="12">
        <v>0.999630481256643</v>
      </c>
      <c r="E441" s="12">
        <v>1.00005145328928</v>
      </c>
      <c r="F441" s="12">
        <v>0.999579049626648</v>
      </c>
    </row>
    <row r="442" spans="1:6">
      <c r="A442" s="13">
        <v>475</v>
      </c>
      <c r="B442" s="12">
        <v>2008</v>
      </c>
      <c r="C442" s="12">
        <v>21</v>
      </c>
      <c r="D442" s="12">
        <v>0.98666256236882</v>
      </c>
      <c r="E442" s="12">
        <v>1.00002117274669</v>
      </c>
      <c r="F442" s="12">
        <v>0.98664167245461</v>
      </c>
    </row>
    <row r="443" spans="1:6">
      <c r="A443" s="13">
        <v>476</v>
      </c>
      <c r="B443" s="12">
        <v>2008</v>
      </c>
      <c r="C443" s="12">
        <v>22</v>
      </c>
      <c r="D443" s="12">
        <v>0.96822920103036</v>
      </c>
      <c r="E443" s="12">
        <v>0.908690908353023</v>
      </c>
      <c r="F443" s="12">
        <v>1.06552095121679</v>
      </c>
    </row>
    <row r="444" spans="1:6">
      <c r="A444" s="13">
        <v>477</v>
      </c>
      <c r="B444" s="12">
        <v>2008</v>
      </c>
      <c r="C444" s="12">
        <v>23</v>
      </c>
      <c r="D444" s="12">
        <v>1.04846984879347</v>
      </c>
      <c r="E444" s="12">
        <v>1.04564235844899</v>
      </c>
      <c r="F444" s="12">
        <v>1.002704070203</v>
      </c>
    </row>
    <row r="445" spans="1:6">
      <c r="A445" s="13">
        <v>478</v>
      </c>
      <c r="B445" s="12">
        <v>2008</v>
      </c>
      <c r="C445" s="12">
        <v>24</v>
      </c>
      <c r="D445" s="12">
        <v>1.00188515505865</v>
      </c>
      <c r="E445" s="12">
        <v>1.00460301081921</v>
      </c>
      <c r="F445" s="12">
        <v>0.997294597237618</v>
      </c>
    </row>
    <row r="446" spans="1:6">
      <c r="A446" s="13">
        <v>479</v>
      </c>
      <c r="B446" s="12">
        <v>2008</v>
      </c>
      <c r="C446" s="12">
        <v>25</v>
      </c>
      <c r="D446" s="12">
        <v>1.04513160917147</v>
      </c>
      <c r="E446" s="12">
        <v>1.0002490655763</v>
      </c>
      <c r="F446" s="12">
        <v>1.04487136768212</v>
      </c>
    </row>
    <row r="447" spans="1:6">
      <c r="A447" s="13">
        <v>480</v>
      </c>
      <c r="B447" s="12">
        <v>2008</v>
      </c>
      <c r="C447" s="12">
        <v>26</v>
      </c>
      <c r="D447" s="12">
        <v>1.00345648104965</v>
      </c>
      <c r="E447" s="12">
        <v>0.994681277807663</v>
      </c>
      <c r="F447" s="12">
        <v>1.00882212567762</v>
      </c>
    </row>
    <row r="448" spans="1:6">
      <c r="A448" s="13">
        <v>481</v>
      </c>
      <c r="B448" s="12">
        <v>2008</v>
      </c>
      <c r="C448" s="12">
        <v>27</v>
      </c>
      <c r="D448" s="12">
        <v>1.00822670459125</v>
      </c>
      <c r="E448" s="12">
        <v>1.01069137367549</v>
      </c>
      <c r="F448" s="12">
        <v>0.997561402868939</v>
      </c>
    </row>
    <row r="449" spans="1:6">
      <c r="A449" s="13">
        <v>482</v>
      </c>
      <c r="B449" s="12">
        <v>2008</v>
      </c>
      <c r="C449" s="12">
        <v>28</v>
      </c>
      <c r="D449" s="12">
        <v>0.999259546812268</v>
      </c>
      <c r="E449" s="12">
        <v>1.00072941668799</v>
      </c>
      <c r="F449" s="12">
        <v>0.998531201490424</v>
      </c>
    </row>
    <row r="450" spans="1:6">
      <c r="A450" s="13">
        <v>483</v>
      </c>
      <c r="B450" s="12">
        <v>2008</v>
      </c>
      <c r="C450" s="12">
        <v>29</v>
      </c>
      <c r="D450" s="12">
        <v>0.995463023919739</v>
      </c>
      <c r="E450" s="12">
        <v>0.996301963164732</v>
      </c>
      <c r="F450" s="12">
        <v>0.999157946811297</v>
      </c>
    </row>
    <row r="451" spans="1:6">
      <c r="A451" s="13">
        <v>484</v>
      </c>
      <c r="B451" s="12">
        <v>2008</v>
      </c>
      <c r="C451" s="12">
        <v>30</v>
      </c>
      <c r="D451" s="12">
        <v>1.03219191358075</v>
      </c>
      <c r="E451" s="12">
        <v>1.04211759944907</v>
      </c>
      <c r="F451" s="12">
        <v>0.990475464694612</v>
      </c>
    </row>
    <row r="452" spans="1:6">
      <c r="A452" s="13">
        <v>485</v>
      </c>
      <c r="B452" s="12">
        <v>2008</v>
      </c>
      <c r="C452" s="12">
        <v>31</v>
      </c>
      <c r="D452" s="12">
        <v>1.00500277020638</v>
      </c>
      <c r="E452" s="12">
        <v>1.00011839449124</v>
      </c>
      <c r="F452" s="12">
        <v>1.00488379750042</v>
      </c>
    </row>
    <row r="453" spans="1:6">
      <c r="A453" s="13">
        <v>486</v>
      </c>
      <c r="B453" s="12">
        <v>2008</v>
      </c>
      <c r="C453" s="12">
        <v>32</v>
      </c>
      <c r="D453" s="12">
        <v>1.00514344045091</v>
      </c>
      <c r="E453" s="12">
        <v>1.00014250748337</v>
      </c>
      <c r="F453" s="12">
        <v>1.00500022039872</v>
      </c>
    </row>
    <row r="454" spans="1:6">
      <c r="A454" s="13">
        <v>487</v>
      </c>
      <c r="B454" s="12">
        <v>2008</v>
      </c>
      <c r="C454" s="12">
        <v>33</v>
      </c>
      <c r="D454" s="12">
        <v>1.01643238242588</v>
      </c>
      <c r="E454" s="12">
        <v>1.02309964985967</v>
      </c>
      <c r="F454" s="12">
        <v>0.993483266820881</v>
      </c>
    </row>
    <row r="455" spans="1:6">
      <c r="A455" s="13">
        <v>488</v>
      </c>
      <c r="B455" s="12">
        <v>2008</v>
      </c>
      <c r="C455" s="12">
        <v>34</v>
      </c>
      <c r="D455" s="12">
        <v>1.01084943162237</v>
      </c>
      <c r="E455" s="12">
        <v>1.00012369446158</v>
      </c>
      <c r="F455" s="12">
        <v>1.0107244106106</v>
      </c>
    </row>
    <row r="456" spans="1:6">
      <c r="A456" s="13">
        <v>489</v>
      </c>
      <c r="B456" s="12">
        <v>2008</v>
      </c>
      <c r="C456" s="12">
        <v>35</v>
      </c>
      <c r="D456" s="12">
        <v>1.05475729384161</v>
      </c>
      <c r="E456" s="12">
        <v>1.00050550337064</v>
      </c>
      <c r="F456" s="12">
        <v>1.05422437986418</v>
      </c>
    </row>
    <row r="457" spans="1:6">
      <c r="A457" s="13">
        <v>490</v>
      </c>
      <c r="B457" s="12">
        <v>2009</v>
      </c>
      <c r="C457" s="12">
        <v>1</v>
      </c>
      <c r="D457" s="12">
        <v>0.98045934259119</v>
      </c>
      <c r="E457" s="12">
        <v>0.959578677849198</v>
      </c>
      <c r="F457" s="12">
        <v>1.02176024251476</v>
      </c>
    </row>
    <row r="458" spans="1:6">
      <c r="A458" s="13">
        <v>491</v>
      </c>
      <c r="B458" s="12">
        <v>2009</v>
      </c>
      <c r="C458" s="12">
        <v>2</v>
      </c>
      <c r="D458" s="12">
        <v>1.0127600797181</v>
      </c>
      <c r="E458" s="12">
        <v>1.00780952057859</v>
      </c>
      <c r="F458" s="12">
        <v>1.00491219723413</v>
      </c>
    </row>
    <row r="459" spans="1:6">
      <c r="A459" s="13">
        <v>492</v>
      </c>
      <c r="B459" s="12">
        <v>2009</v>
      </c>
      <c r="C459" s="12">
        <v>3</v>
      </c>
      <c r="D459" s="12">
        <v>1.05600503242886</v>
      </c>
      <c r="E459" s="12">
        <v>1.04307150276157</v>
      </c>
      <c r="F459" s="12">
        <v>1.01239946603185</v>
      </c>
    </row>
    <row r="460" spans="1:6">
      <c r="A460" s="13">
        <v>493</v>
      </c>
      <c r="B460" s="12">
        <v>2009</v>
      </c>
      <c r="C460" s="12">
        <v>4</v>
      </c>
      <c r="D460" s="12">
        <v>1.01504187424173</v>
      </c>
      <c r="E460" s="12">
        <v>0.961569857318561</v>
      </c>
      <c r="F460" s="12">
        <v>1.05560908187397</v>
      </c>
    </row>
    <row r="461" spans="1:6">
      <c r="A461" s="13">
        <v>494</v>
      </c>
      <c r="B461" s="12">
        <v>2009</v>
      </c>
      <c r="C461" s="12">
        <v>5</v>
      </c>
      <c r="D461" s="12">
        <v>1.00559980836651</v>
      </c>
      <c r="E461" s="12">
        <v>1.00291445093182</v>
      </c>
      <c r="F461" s="12">
        <v>1.00267755383543</v>
      </c>
    </row>
    <row r="462" spans="1:6">
      <c r="A462" s="13">
        <v>495</v>
      </c>
      <c r="B462" s="12">
        <v>2009</v>
      </c>
      <c r="C462" s="12">
        <v>6</v>
      </c>
      <c r="D462" s="12">
        <v>1.00523946623476</v>
      </c>
      <c r="E462" s="12">
        <v>0.999992655542</v>
      </c>
      <c r="F462" s="12">
        <v>1.00524684922802</v>
      </c>
    </row>
    <row r="463" spans="1:6">
      <c r="A463" s="13">
        <v>496</v>
      </c>
      <c r="B463" s="12">
        <v>2009</v>
      </c>
      <c r="C463" s="12">
        <v>7</v>
      </c>
      <c r="D463" s="12">
        <v>1.0280108570679</v>
      </c>
      <c r="E463" s="12">
        <v>1.00044428880409</v>
      </c>
      <c r="F463" s="12">
        <v>1.02755432618518</v>
      </c>
    </row>
    <row r="464" spans="1:6">
      <c r="A464" s="13">
        <v>497</v>
      </c>
      <c r="B464" s="12">
        <v>2009</v>
      </c>
      <c r="C464" s="12">
        <v>8</v>
      </c>
      <c r="D464" s="12">
        <v>1.00880180549655</v>
      </c>
      <c r="E464" s="12">
        <v>1.00000018475781</v>
      </c>
      <c r="F464" s="12">
        <v>1.00880161911257</v>
      </c>
    </row>
    <row r="465" spans="1:6">
      <c r="A465" s="13">
        <v>498</v>
      </c>
      <c r="B465" s="12">
        <v>2009</v>
      </c>
      <c r="C465" s="12">
        <v>9</v>
      </c>
      <c r="D465" s="12">
        <v>1.02574813482049</v>
      </c>
      <c r="E465" s="12">
        <v>1.00466716535636</v>
      </c>
      <c r="F465" s="12">
        <v>1.02098303815538</v>
      </c>
    </row>
    <row r="466" spans="1:6">
      <c r="A466" s="13">
        <v>499</v>
      </c>
      <c r="B466" s="12">
        <v>2009</v>
      </c>
      <c r="C466" s="12">
        <v>10</v>
      </c>
      <c r="D466" s="12">
        <v>1.046698985097</v>
      </c>
      <c r="E466" s="12">
        <v>0.999920183437794</v>
      </c>
      <c r="F466" s="12">
        <v>1.04678253568038</v>
      </c>
    </row>
    <row r="467" spans="1:6">
      <c r="A467" s="13">
        <v>500</v>
      </c>
      <c r="B467" s="12">
        <v>2009</v>
      </c>
      <c r="C467" s="12">
        <v>11</v>
      </c>
      <c r="D467" s="12">
        <v>1.06750852947602</v>
      </c>
      <c r="E467" s="12">
        <v>1.00003565810142</v>
      </c>
      <c r="F467" s="12">
        <v>1.06747046550589</v>
      </c>
    </row>
    <row r="468" spans="1:6">
      <c r="A468" s="13">
        <v>501</v>
      </c>
      <c r="B468" s="12">
        <v>2009</v>
      </c>
      <c r="C468" s="12">
        <v>12</v>
      </c>
      <c r="D468" s="12">
        <v>0.99751300640915</v>
      </c>
      <c r="E468" s="12">
        <v>0.999400685613316</v>
      </c>
      <c r="F468" s="12">
        <v>0.99811118880411</v>
      </c>
    </row>
    <row r="469" spans="1:6">
      <c r="A469" s="13">
        <v>502</v>
      </c>
      <c r="B469" s="12">
        <v>2009</v>
      </c>
      <c r="C469" s="12">
        <v>13</v>
      </c>
      <c r="D469" s="12">
        <v>1.00449361911448</v>
      </c>
      <c r="E469" s="12">
        <v>1.0030512469648</v>
      </c>
      <c r="F469" s="12">
        <v>1.00143798450383</v>
      </c>
    </row>
    <row r="470" spans="1:6">
      <c r="A470" s="13">
        <v>503</v>
      </c>
      <c r="B470" s="12">
        <v>2009</v>
      </c>
      <c r="C470" s="12">
        <v>14</v>
      </c>
      <c r="D470" s="12">
        <v>1.02465870252719</v>
      </c>
      <c r="E470" s="12">
        <v>0.999894624255427</v>
      </c>
      <c r="F470" s="12">
        <v>1.02476668807996</v>
      </c>
    </row>
    <row r="471" spans="1:6">
      <c r="A471" s="13">
        <v>504</v>
      </c>
      <c r="B471" s="12">
        <v>2009</v>
      </c>
      <c r="C471" s="12">
        <v>15</v>
      </c>
      <c r="D471" s="12">
        <v>1.01604139915584</v>
      </c>
      <c r="E471" s="12">
        <v>1.00058636148733</v>
      </c>
      <c r="F471" s="12">
        <v>1.01544598074027</v>
      </c>
    </row>
    <row r="472" spans="1:6">
      <c r="A472" s="13">
        <v>505</v>
      </c>
      <c r="B472" s="12">
        <v>2009</v>
      </c>
      <c r="C472" s="12">
        <v>16</v>
      </c>
      <c r="D472" s="12">
        <v>1.00254660105183</v>
      </c>
      <c r="E472" s="12">
        <v>1.00161468761608</v>
      </c>
      <c r="F472" s="12">
        <v>1.00093041111245</v>
      </c>
    </row>
    <row r="473" spans="1:6">
      <c r="A473" s="13">
        <v>506</v>
      </c>
      <c r="B473" s="12">
        <v>2009</v>
      </c>
      <c r="C473" s="12">
        <v>17</v>
      </c>
      <c r="D473" s="12">
        <v>1.02945134470562</v>
      </c>
      <c r="E473" s="12">
        <v>1.00038813585522</v>
      </c>
      <c r="F473" s="12">
        <v>1.02905193275363</v>
      </c>
    </row>
    <row r="474" spans="1:6">
      <c r="A474" s="13">
        <v>507</v>
      </c>
      <c r="B474" s="12">
        <v>2009</v>
      </c>
      <c r="C474" s="12">
        <v>18</v>
      </c>
      <c r="D474" s="12">
        <v>1.13934538255228</v>
      </c>
      <c r="E474" s="12">
        <v>1.00039766212505</v>
      </c>
      <c r="F474" s="12">
        <v>1.13889248814524</v>
      </c>
    </row>
    <row r="475" spans="1:6">
      <c r="A475" s="13">
        <v>508</v>
      </c>
      <c r="B475" s="12">
        <v>2009</v>
      </c>
      <c r="C475" s="12">
        <v>19</v>
      </c>
      <c r="D475" s="12">
        <v>1.01724651331103</v>
      </c>
      <c r="E475" s="12">
        <v>0.996019886715236</v>
      </c>
      <c r="F475" s="12">
        <v>1.02131144857539</v>
      </c>
    </row>
    <row r="476" spans="1:6">
      <c r="A476" s="13">
        <v>509</v>
      </c>
      <c r="B476" s="12">
        <v>2009</v>
      </c>
      <c r="C476" s="12">
        <v>20</v>
      </c>
      <c r="D476" s="12">
        <v>1.00217696779479</v>
      </c>
      <c r="E476" s="12">
        <v>1.0000052276188</v>
      </c>
      <c r="F476" s="12">
        <v>1.00217172882302</v>
      </c>
    </row>
    <row r="477" spans="1:6">
      <c r="A477" s="13">
        <v>510</v>
      </c>
      <c r="B477" s="12">
        <v>2009</v>
      </c>
      <c r="C477" s="12">
        <v>21</v>
      </c>
      <c r="D477" s="12">
        <v>1.0445263446365</v>
      </c>
      <c r="E477" s="12">
        <v>1.00025877734045</v>
      </c>
      <c r="F477" s="12">
        <v>1.04425611481636</v>
      </c>
    </row>
    <row r="478" spans="1:6">
      <c r="A478" s="13">
        <v>511</v>
      </c>
      <c r="B478" s="12">
        <v>2009</v>
      </c>
      <c r="C478" s="12">
        <v>22</v>
      </c>
      <c r="D478" s="12">
        <v>1.01543829749579</v>
      </c>
      <c r="E478" s="12">
        <v>0.989304765592417</v>
      </c>
      <c r="F478" s="12">
        <v>1.02641605783403</v>
      </c>
    </row>
    <row r="479" spans="1:6">
      <c r="A479" s="13">
        <v>512</v>
      </c>
      <c r="B479" s="12">
        <v>2009</v>
      </c>
      <c r="C479" s="12">
        <v>23</v>
      </c>
      <c r="D479" s="12">
        <v>1.01164752104969</v>
      </c>
      <c r="E479" s="12">
        <v>1.02088521541697</v>
      </c>
      <c r="F479" s="12">
        <v>0.990951289892561</v>
      </c>
    </row>
    <row r="480" spans="1:6">
      <c r="A480" s="13">
        <v>513</v>
      </c>
      <c r="B480" s="12">
        <v>2009</v>
      </c>
      <c r="C480" s="12">
        <v>24</v>
      </c>
      <c r="D480" s="12">
        <v>1.00350323245313</v>
      </c>
      <c r="E480" s="12">
        <v>1.00140284995034</v>
      </c>
      <c r="F480" s="12">
        <v>1.00209744010904</v>
      </c>
    </row>
    <row r="481" spans="1:6">
      <c r="A481" s="13">
        <v>514</v>
      </c>
      <c r="B481" s="12">
        <v>2009</v>
      </c>
      <c r="C481" s="12">
        <v>25</v>
      </c>
      <c r="D481" s="12">
        <v>0.964466900919302</v>
      </c>
      <c r="E481" s="12">
        <v>0.999837985037867</v>
      </c>
      <c r="F481" s="12">
        <v>0.96462318430798</v>
      </c>
    </row>
    <row r="482" spans="1:6">
      <c r="A482" s="13">
        <v>515</v>
      </c>
      <c r="B482" s="12">
        <v>2009</v>
      </c>
      <c r="C482" s="12">
        <v>26</v>
      </c>
      <c r="D482" s="12">
        <v>1.07133491806573</v>
      </c>
      <c r="E482" s="12">
        <v>1.0488976893541</v>
      </c>
      <c r="F482" s="12">
        <v>1.02139124620004</v>
      </c>
    </row>
    <row r="483" spans="1:6">
      <c r="A483" s="13">
        <v>516</v>
      </c>
      <c r="B483" s="12">
        <v>2009</v>
      </c>
      <c r="C483" s="12">
        <v>27</v>
      </c>
      <c r="D483" s="12">
        <v>0.996059126810712</v>
      </c>
      <c r="E483" s="12">
        <v>0.993533408919784</v>
      </c>
      <c r="F483" s="12">
        <v>1.00254215698058</v>
      </c>
    </row>
    <row r="484" spans="1:6">
      <c r="A484" s="13">
        <v>517</v>
      </c>
      <c r="B484" s="12">
        <v>2009</v>
      </c>
      <c r="C484" s="12">
        <v>28</v>
      </c>
      <c r="D484" s="12">
        <v>1.00784861458846</v>
      </c>
      <c r="E484" s="12">
        <v>1.00680370079024</v>
      </c>
      <c r="F484" s="12">
        <v>1.00103785255994</v>
      </c>
    </row>
    <row r="485" spans="1:6">
      <c r="A485" s="13">
        <v>518</v>
      </c>
      <c r="B485" s="12">
        <v>2009</v>
      </c>
      <c r="C485" s="12">
        <v>29</v>
      </c>
      <c r="D485" s="12">
        <v>1.00393917241712</v>
      </c>
      <c r="E485" s="12">
        <v>1.00216971478822</v>
      </c>
      <c r="F485" s="12">
        <v>1.00176562672249</v>
      </c>
    </row>
    <row r="486" spans="1:6">
      <c r="A486" s="13">
        <v>519</v>
      </c>
      <c r="B486" s="12">
        <v>2009</v>
      </c>
      <c r="C486" s="12">
        <v>30</v>
      </c>
      <c r="D486" s="12">
        <v>1.0209918214987</v>
      </c>
      <c r="E486" s="12">
        <v>1.01563678411285</v>
      </c>
      <c r="F486" s="12">
        <v>1.00527259101839</v>
      </c>
    </row>
    <row r="487" spans="1:6">
      <c r="A487" s="13">
        <v>520</v>
      </c>
      <c r="B487" s="12">
        <v>2009</v>
      </c>
      <c r="C487" s="12">
        <v>31</v>
      </c>
      <c r="D487" s="12">
        <v>1.03347932395146</v>
      </c>
      <c r="E487" s="12">
        <v>1.00048095452407</v>
      </c>
      <c r="F487" s="12">
        <v>1.03298250634174</v>
      </c>
    </row>
    <row r="488" spans="1:6">
      <c r="A488" s="13">
        <v>521</v>
      </c>
      <c r="B488" s="12">
        <v>2009</v>
      </c>
      <c r="C488" s="12">
        <v>32</v>
      </c>
      <c r="D488" s="12">
        <v>0.998931499463279</v>
      </c>
      <c r="E488" s="12">
        <v>1.00013884012832</v>
      </c>
      <c r="F488" s="12">
        <v>0.998792826939017</v>
      </c>
    </row>
    <row r="489" spans="1:6">
      <c r="A489" s="13">
        <v>522</v>
      </c>
      <c r="B489" s="12">
        <v>2009</v>
      </c>
      <c r="C489" s="12">
        <v>33</v>
      </c>
      <c r="D489" s="12">
        <v>0.992541807662181</v>
      </c>
      <c r="E489" s="12">
        <v>0.984717751483962</v>
      </c>
      <c r="F489" s="12">
        <v>1.00794548099334</v>
      </c>
    </row>
    <row r="490" spans="1:6">
      <c r="A490" s="13">
        <v>523</v>
      </c>
      <c r="B490" s="12">
        <v>2009</v>
      </c>
      <c r="C490" s="12">
        <v>34</v>
      </c>
      <c r="D490" s="12">
        <v>1.04158991788453</v>
      </c>
      <c r="E490" s="12">
        <v>0.999897172025668</v>
      </c>
      <c r="F490" s="12">
        <v>1.04169703348035</v>
      </c>
    </row>
    <row r="491" spans="1:6">
      <c r="A491" s="13">
        <v>524</v>
      </c>
      <c r="B491" s="12">
        <v>2009</v>
      </c>
      <c r="C491" s="12">
        <v>35</v>
      </c>
      <c r="D491" s="12">
        <v>1.12091017507119</v>
      </c>
      <c r="E491" s="12">
        <v>1.00000880863405</v>
      </c>
      <c r="F491" s="12">
        <v>1.12090030147063</v>
      </c>
    </row>
    <row r="492" spans="1:6">
      <c r="A492" s="13">
        <v>525</v>
      </c>
      <c r="B492" s="12">
        <v>2010</v>
      </c>
      <c r="C492" s="12">
        <v>1</v>
      </c>
      <c r="D492" s="12">
        <v>1.05849424586435</v>
      </c>
      <c r="E492" s="12">
        <v>1.10491000141879</v>
      </c>
      <c r="F492" s="12">
        <v>0.957991369889999</v>
      </c>
    </row>
    <row r="493" spans="1:6">
      <c r="A493" s="13">
        <v>526</v>
      </c>
      <c r="B493" s="12">
        <v>2010</v>
      </c>
      <c r="C493" s="12">
        <v>2</v>
      </c>
      <c r="D493" s="12">
        <v>0.999155901270603</v>
      </c>
      <c r="E493" s="12">
        <v>0.997092536153545</v>
      </c>
      <c r="F493" s="12">
        <v>1.00206938176974</v>
      </c>
    </row>
    <row r="494" spans="1:6">
      <c r="A494" s="13">
        <v>527</v>
      </c>
      <c r="B494" s="12">
        <v>2010</v>
      </c>
      <c r="C494" s="12">
        <v>3</v>
      </c>
      <c r="D494" s="12">
        <v>0.986381604272505</v>
      </c>
      <c r="E494" s="12">
        <v>0.966634465338059</v>
      </c>
      <c r="F494" s="12">
        <v>1.02042875527673</v>
      </c>
    </row>
    <row r="495" spans="1:6">
      <c r="A495" s="13">
        <v>528</v>
      </c>
      <c r="B495" s="12">
        <v>2010</v>
      </c>
      <c r="C495" s="12">
        <v>4</v>
      </c>
      <c r="D495" s="12">
        <v>1.00696865078803</v>
      </c>
      <c r="E495" s="12">
        <v>1.05044107414994</v>
      </c>
      <c r="F495" s="12">
        <v>0.958615076626649</v>
      </c>
    </row>
    <row r="496" spans="1:6">
      <c r="A496" s="13">
        <v>529</v>
      </c>
      <c r="B496" s="12">
        <v>2010</v>
      </c>
      <c r="C496" s="12">
        <v>5</v>
      </c>
      <c r="D496" s="12">
        <v>1.0046897823609</v>
      </c>
      <c r="E496" s="12">
        <v>1.01124403832202</v>
      </c>
      <c r="F496" s="12">
        <v>0.99351862091371</v>
      </c>
    </row>
    <row r="497" spans="1:6">
      <c r="A497" s="13">
        <v>530</v>
      </c>
      <c r="B497" s="12">
        <v>2010</v>
      </c>
      <c r="C497" s="12">
        <v>6</v>
      </c>
      <c r="D497" s="12">
        <v>0.99536636191242</v>
      </c>
      <c r="E497" s="12">
        <v>0.996553774826206</v>
      </c>
      <c r="F497" s="12">
        <v>0.998808480842899</v>
      </c>
    </row>
    <row r="498" spans="1:6">
      <c r="A498" s="13">
        <v>531</v>
      </c>
      <c r="B498" s="12">
        <v>2010</v>
      </c>
      <c r="C498" s="12">
        <v>7</v>
      </c>
      <c r="D498" s="12">
        <v>1.016100414027</v>
      </c>
      <c r="E498" s="12">
        <v>0.999946264799586</v>
      </c>
      <c r="F498" s="12">
        <v>1.01615501732051</v>
      </c>
    </row>
    <row r="499" spans="1:6">
      <c r="A499" s="13">
        <v>532</v>
      </c>
      <c r="B499" s="12">
        <v>2010</v>
      </c>
      <c r="C499" s="12">
        <v>8</v>
      </c>
      <c r="D499" s="12">
        <v>0.994285532696881</v>
      </c>
      <c r="E499" s="12">
        <v>0.998354854548117</v>
      </c>
      <c r="F499" s="12">
        <v>0.995923972490645</v>
      </c>
    </row>
    <row r="500" spans="1:6">
      <c r="A500" s="13">
        <v>533</v>
      </c>
      <c r="B500" s="12">
        <v>2010</v>
      </c>
      <c r="C500" s="12">
        <v>9</v>
      </c>
      <c r="D500" s="12">
        <v>0.986384588832857</v>
      </c>
      <c r="E500" s="12">
        <v>0.985866644097245</v>
      </c>
      <c r="F500" s="12">
        <v>1.00052536997647</v>
      </c>
    </row>
    <row r="501" spans="1:6">
      <c r="A501" s="13">
        <v>534</v>
      </c>
      <c r="B501" s="12">
        <v>2010</v>
      </c>
      <c r="C501" s="12">
        <v>10</v>
      </c>
      <c r="D501" s="12">
        <v>0.97456467662265</v>
      </c>
      <c r="E501" s="12">
        <v>1.00032789990731</v>
      </c>
      <c r="F501" s="12">
        <v>0.974245221704759</v>
      </c>
    </row>
    <row r="502" spans="1:6">
      <c r="A502" s="13">
        <v>535</v>
      </c>
      <c r="B502" s="12">
        <v>2010</v>
      </c>
      <c r="C502" s="12">
        <v>11</v>
      </c>
      <c r="D502" s="12">
        <v>0.943100333373693</v>
      </c>
      <c r="E502" s="12">
        <v>0.996447656768564</v>
      </c>
      <c r="F502" s="12">
        <v>0.946462493004526</v>
      </c>
    </row>
    <row r="503" spans="1:6">
      <c r="A503" s="13">
        <v>536</v>
      </c>
      <c r="B503" s="12">
        <v>2010</v>
      </c>
      <c r="C503" s="12">
        <v>12</v>
      </c>
      <c r="D503" s="12">
        <v>1.01058122901034</v>
      </c>
      <c r="E503" s="12">
        <v>0.996249828528723</v>
      </c>
      <c r="F503" s="12">
        <v>1.0143853480033</v>
      </c>
    </row>
    <row r="504" spans="1:6">
      <c r="A504" s="13">
        <v>537</v>
      </c>
      <c r="B504" s="12">
        <v>2010</v>
      </c>
      <c r="C504" s="12">
        <v>13</v>
      </c>
      <c r="D504" s="12">
        <v>0.998139727993416</v>
      </c>
      <c r="E504" s="12">
        <v>0.998420004783413</v>
      </c>
      <c r="F504" s="12">
        <v>0.999719279673229</v>
      </c>
    </row>
    <row r="505" spans="1:6">
      <c r="A505" s="13">
        <v>538</v>
      </c>
      <c r="B505" s="12">
        <v>2010</v>
      </c>
      <c r="C505" s="12">
        <v>14</v>
      </c>
      <c r="D505" s="12">
        <v>1.00835753577331</v>
      </c>
      <c r="E505" s="12">
        <v>0.999648564045581</v>
      </c>
      <c r="F505" s="12">
        <v>1.00871203344952</v>
      </c>
    </row>
    <row r="506" spans="1:6">
      <c r="A506" s="13">
        <v>539</v>
      </c>
      <c r="B506" s="12">
        <v>2010</v>
      </c>
      <c r="C506" s="12">
        <v>15</v>
      </c>
      <c r="D506" s="12">
        <v>1.01201041704959</v>
      </c>
      <c r="E506" s="12">
        <v>1.00004055124474</v>
      </c>
      <c r="F506" s="12">
        <v>1.01196938043157</v>
      </c>
    </row>
    <row r="507" spans="1:6">
      <c r="A507" s="13">
        <v>540</v>
      </c>
      <c r="B507" s="12">
        <v>2010</v>
      </c>
      <c r="C507" s="12">
        <v>16</v>
      </c>
      <c r="D507" s="12">
        <v>0.999879670211009</v>
      </c>
      <c r="E507" s="12">
        <v>1.00460081924515</v>
      </c>
      <c r="F507" s="12">
        <v>0.995300472641771</v>
      </c>
    </row>
    <row r="508" spans="1:6">
      <c r="A508" s="13">
        <v>541</v>
      </c>
      <c r="B508" s="12">
        <v>2010</v>
      </c>
      <c r="C508" s="12">
        <v>17</v>
      </c>
      <c r="D508" s="12">
        <v>0.962036571671932</v>
      </c>
      <c r="E508" s="12">
        <v>0.999804629250016</v>
      </c>
      <c r="F508" s="12">
        <v>0.962224562206304</v>
      </c>
    </row>
    <row r="509" spans="1:6">
      <c r="A509" s="13">
        <v>542</v>
      </c>
      <c r="B509" s="12">
        <v>2010</v>
      </c>
      <c r="C509" s="12">
        <v>18</v>
      </c>
      <c r="D509" s="12">
        <v>1.01848628068561</v>
      </c>
      <c r="E509" s="12">
        <v>1.00002100108569</v>
      </c>
      <c r="F509" s="12">
        <v>1.01846489181714</v>
      </c>
    </row>
    <row r="510" spans="1:6">
      <c r="A510" s="13">
        <v>543</v>
      </c>
      <c r="B510" s="12">
        <v>2010</v>
      </c>
      <c r="C510" s="12">
        <v>19</v>
      </c>
      <c r="D510" s="12">
        <v>0.962740130651246</v>
      </c>
      <c r="E510" s="12">
        <v>1.01777237053636</v>
      </c>
      <c r="F510" s="12">
        <v>0.945928734677565</v>
      </c>
    </row>
    <row r="511" spans="1:6">
      <c r="A511" s="13">
        <v>544</v>
      </c>
      <c r="B511" s="12">
        <v>2010</v>
      </c>
      <c r="C511" s="12">
        <v>20</v>
      </c>
      <c r="D511" s="12">
        <v>0.999911599852005</v>
      </c>
      <c r="E511" s="12">
        <v>0.999979428805906</v>
      </c>
      <c r="F511" s="12">
        <v>0.999932169650748</v>
      </c>
    </row>
    <row r="512" spans="1:6">
      <c r="A512" s="13">
        <v>545</v>
      </c>
      <c r="B512" s="12">
        <v>2010</v>
      </c>
      <c r="C512" s="12">
        <v>21</v>
      </c>
      <c r="D512" s="12">
        <v>0.970555302447969</v>
      </c>
      <c r="E512" s="12">
        <v>0.99967730564964</v>
      </c>
      <c r="F512" s="12">
        <v>0.970868596258924</v>
      </c>
    </row>
    <row r="513" spans="1:6">
      <c r="A513" s="13">
        <v>546</v>
      </c>
      <c r="B513" s="12">
        <v>2010</v>
      </c>
      <c r="C513" s="12">
        <v>22</v>
      </c>
      <c r="D513" s="12">
        <v>1.0062516100693</v>
      </c>
      <c r="E513" s="12">
        <v>1.02717016042262</v>
      </c>
      <c r="F513" s="12">
        <v>0.979634776048489</v>
      </c>
    </row>
    <row r="514" spans="1:6">
      <c r="A514" s="13">
        <v>547</v>
      </c>
      <c r="B514" s="12">
        <v>2010</v>
      </c>
      <c r="C514" s="12">
        <v>23</v>
      </c>
      <c r="D514" s="12">
        <v>0.998559575945501</v>
      </c>
      <c r="E514" s="12">
        <v>0.983558936625887</v>
      </c>
      <c r="F514" s="12">
        <v>1.01525138836222</v>
      </c>
    </row>
    <row r="515" spans="1:6">
      <c r="A515" s="13">
        <v>548</v>
      </c>
      <c r="B515" s="12">
        <v>2010</v>
      </c>
      <c r="C515" s="12">
        <v>24</v>
      </c>
      <c r="D515" s="12">
        <v>0.999340496776774</v>
      </c>
      <c r="E515" s="12">
        <v>0.999664655923246</v>
      </c>
      <c r="F515" s="12">
        <v>0.999675732112212</v>
      </c>
    </row>
    <row r="516" spans="1:6">
      <c r="A516" s="13">
        <v>549</v>
      </c>
      <c r="B516" s="12">
        <v>2010</v>
      </c>
      <c r="C516" s="12">
        <v>25</v>
      </c>
      <c r="D516" s="12">
        <v>1.00808327841934</v>
      </c>
      <c r="E516" s="12">
        <v>0.999932862605031</v>
      </c>
      <c r="F516" s="12">
        <v>1.00815096304874</v>
      </c>
    </row>
    <row r="517" spans="1:6">
      <c r="A517" s="13">
        <v>550</v>
      </c>
      <c r="B517" s="12">
        <v>2010</v>
      </c>
      <c r="C517" s="12">
        <v>26</v>
      </c>
      <c r="D517" s="12">
        <v>0.990955433801577</v>
      </c>
      <c r="E517" s="12">
        <v>0.993361425718872</v>
      </c>
      <c r="F517" s="12">
        <v>0.997577928984353</v>
      </c>
    </row>
    <row r="518" spans="1:6">
      <c r="A518" s="13">
        <v>551</v>
      </c>
      <c r="B518" s="12">
        <v>2010</v>
      </c>
      <c r="C518" s="12">
        <v>27</v>
      </c>
      <c r="D518" s="12">
        <v>0.991922707920488</v>
      </c>
      <c r="E518" s="12">
        <v>0.993365616345362</v>
      </c>
      <c r="F518" s="12">
        <v>0.998547454833213</v>
      </c>
    </row>
    <row r="519" spans="1:6">
      <c r="A519" s="13">
        <v>552</v>
      </c>
      <c r="B519" s="12">
        <v>2010</v>
      </c>
      <c r="C519" s="12">
        <v>28</v>
      </c>
      <c r="D519" s="12">
        <v>0.994440529938131</v>
      </c>
      <c r="E519" s="12">
        <v>0.994316239371136</v>
      </c>
      <c r="F519" s="12">
        <v>1.000125001043</v>
      </c>
    </row>
    <row r="520" spans="1:6">
      <c r="A520" s="13">
        <v>553</v>
      </c>
      <c r="B520" s="12">
        <v>2010</v>
      </c>
      <c r="C520" s="12">
        <v>29</v>
      </c>
      <c r="D520" s="12">
        <v>1.00070144807747</v>
      </c>
      <c r="E520" s="12">
        <v>1.00254394179704</v>
      </c>
      <c r="F520" s="12">
        <v>0.998162181583517</v>
      </c>
    </row>
    <row r="521" spans="1:6">
      <c r="A521" s="13">
        <v>554</v>
      </c>
      <c r="B521" s="12">
        <v>2010</v>
      </c>
      <c r="C521" s="12">
        <v>30</v>
      </c>
      <c r="D521" s="12">
        <v>0.98806180460873</v>
      </c>
      <c r="E521" s="12">
        <v>0.996506243656516</v>
      </c>
      <c r="F521" s="12">
        <v>0.991525954702701</v>
      </c>
    </row>
    <row r="522" spans="1:6">
      <c r="A522" s="13">
        <v>555</v>
      </c>
      <c r="B522" s="12">
        <v>2010</v>
      </c>
      <c r="C522" s="12">
        <v>31</v>
      </c>
      <c r="D522" s="12">
        <v>0.983669433749938</v>
      </c>
      <c r="E522" s="12">
        <v>0.999382023126404</v>
      </c>
      <c r="F522" s="12">
        <v>0.984277694602398</v>
      </c>
    </row>
    <row r="523" spans="1:6">
      <c r="A523" s="13">
        <v>556</v>
      </c>
      <c r="B523" s="12">
        <v>2010</v>
      </c>
      <c r="C523" s="12">
        <v>32</v>
      </c>
      <c r="D523" s="12">
        <v>1.01078863039587</v>
      </c>
      <c r="E523" s="12">
        <v>0.999888535319506</v>
      </c>
      <c r="F523" s="12">
        <v>1.01090131018742</v>
      </c>
    </row>
    <row r="524" spans="1:6">
      <c r="A524" s="13">
        <v>557</v>
      </c>
      <c r="B524" s="12">
        <v>2010</v>
      </c>
      <c r="C524" s="12">
        <v>33</v>
      </c>
      <c r="D524" s="12">
        <v>0.985001596652897</v>
      </c>
      <c r="E524" s="12">
        <v>1.00362118963503</v>
      </c>
      <c r="F524" s="12">
        <v>0.981447588816946</v>
      </c>
    </row>
    <row r="525" spans="1:6">
      <c r="A525" s="13">
        <v>558</v>
      </c>
      <c r="B525" s="12">
        <v>2010</v>
      </c>
      <c r="C525" s="12">
        <v>34</v>
      </c>
      <c r="D525" s="12">
        <v>0.95462297909982</v>
      </c>
      <c r="E525" s="12">
        <v>0.999858204431459</v>
      </c>
      <c r="F525" s="12">
        <v>0.95475835960424</v>
      </c>
    </row>
    <row r="526" spans="1:6">
      <c r="A526" s="13">
        <v>559</v>
      </c>
      <c r="B526" s="12">
        <v>2010</v>
      </c>
      <c r="C526" s="12">
        <v>35</v>
      </c>
      <c r="D526" s="12">
        <v>0.975754281929791</v>
      </c>
      <c r="E526" s="12">
        <v>0.999444029576882</v>
      </c>
      <c r="F526" s="12">
        <v>0.976297074227238</v>
      </c>
    </row>
    <row r="527" spans="1:6">
      <c r="A527" s="13">
        <v>560</v>
      </c>
      <c r="B527" s="12">
        <v>2011</v>
      </c>
      <c r="C527" s="12">
        <v>1</v>
      </c>
      <c r="D527" s="12">
        <v>1.05249458296396</v>
      </c>
      <c r="E527" s="12">
        <v>1.06258021208171</v>
      </c>
      <c r="F527" s="12">
        <v>0.990508359742563</v>
      </c>
    </row>
    <row r="528" spans="1:6">
      <c r="A528" s="13">
        <v>561</v>
      </c>
      <c r="B528" s="12">
        <v>2011</v>
      </c>
      <c r="C528" s="12">
        <v>2</v>
      </c>
      <c r="D528" s="12">
        <v>0.996028100753645</v>
      </c>
      <c r="E528" s="12">
        <v>0.984686118703872</v>
      </c>
      <c r="F528" s="12">
        <v>1.01151837304734</v>
      </c>
    </row>
    <row r="529" spans="1:6">
      <c r="A529" s="13">
        <v>562</v>
      </c>
      <c r="B529" s="12">
        <v>2011</v>
      </c>
      <c r="C529" s="12">
        <v>3</v>
      </c>
      <c r="D529" s="12">
        <v>0.98649429249274</v>
      </c>
      <c r="E529" s="12">
        <v>0.987805203991257</v>
      </c>
      <c r="F529" s="12">
        <v>0.998672904846806</v>
      </c>
    </row>
    <row r="530" spans="1:6">
      <c r="A530" s="13">
        <v>563</v>
      </c>
      <c r="B530" s="12">
        <v>2011</v>
      </c>
      <c r="C530" s="12">
        <v>4</v>
      </c>
      <c r="D530" s="12">
        <v>1.01102137480831</v>
      </c>
      <c r="E530" s="12">
        <v>1.01804418023834</v>
      </c>
      <c r="F530" s="12">
        <v>0.993101669292601</v>
      </c>
    </row>
    <row r="531" spans="1:6">
      <c r="A531" s="13">
        <v>564</v>
      </c>
      <c r="B531" s="12">
        <v>2011</v>
      </c>
      <c r="C531" s="12">
        <v>5</v>
      </c>
      <c r="D531" s="12">
        <v>0.997221495931459</v>
      </c>
      <c r="E531" s="12">
        <v>0.989317078642018</v>
      </c>
      <c r="F531" s="12">
        <v>1.00798977138886</v>
      </c>
    </row>
    <row r="532" spans="1:6">
      <c r="A532" s="13">
        <v>565</v>
      </c>
      <c r="B532" s="12">
        <v>2011</v>
      </c>
      <c r="C532" s="12">
        <v>6</v>
      </c>
      <c r="D532" s="12">
        <v>1.00603086903717</v>
      </c>
      <c r="E532" s="12">
        <v>0.99875182860843</v>
      </c>
      <c r="F532" s="12">
        <v>1.00728813727318</v>
      </c>
    </row>
    <row r="533" spans="1:6">
      <c r="A533" s="13">
        <v>566</v>
      </c>
      <c r="B533" s="12">
        <v>2011</v>
      </c>
      <c r="C533" s="12">
        <v>7</v>
      </c>
      <c r="D533" s="12">
        <v>0.993776328857455</v>
      </c>
      <c r="E533" s="12">
        <v>0.999836382728174</v>
      </c>
      <c r="F533" s="12">
        <v>0.993938954437541</v>
      </c>
    </row>
    <row r="534" spans="1:6">
      <c r="A534" s="13">
        <v>567</v>
      </c>
      <c r="B534" s="12">
        <v>2011</v>
      </c>
      <c r="C534" s="12">
        <v>8</v>
      </c>
      <c r="D534" s="12">
        <v>0.997200550556831</v>
      </c>
      <c r="E534" s="12">
        <v>0.996538710844558</v>
      </c>
      <c r="F534" s="12">
        <v>1.00066413848762</v>
      </c>
    </row>
    <row r="535" spans="1:6">
      <c r="A535" s="13">
        <v>568</v>
      </c>
      <c r="B535" s="12">
        <v>2011</v>
      </c>
      <c r="C535" s="12">
        <v>9</v>
      </c>
      <c r="D535" s="12">
        <v>0.996570826790323</v>
      </c>
      <c r="E535" s="12">
        <v>0.991522315788804</v>
      </c>
      <c r="F535" s="12">
        <v>1.00509167662808</v>
      </c>
    </row>
    <row r="536" spans="1:6">
      <c r="A536" s="13">
        <v>569</v>
      </c>
      <c r="B536" s="12">
        <v>2011</v>
      </c>
      <c r="C536" s="12">
        <v>10</v>
      </c>
      <c r="D536" s="12">
        <v>0.996068779732597</v>
      </c>
      <c r="E536" s="12">
        <v>1.00005774525598</v>
      </c>
      <c r="F536" s="12">
        <v>0.996011264807147</v>
      </c>
    </row>
    <row r="537" spans="1:6">
      <c r="A537" s="13">
        <v>570</v>
      </c>
      <c r="B537" s="12">
        <v>2011</v>
      </c>
      <c r="C537" s="12">
        <v>11</v>
      </c>
      <c r="D537" s="12">
        <v>0.985629080041779</v>
      </c>
      <c r="E537" s="12">
        <v>0.997104284494929</v>
      </c>
      <c r="F537" s="12">
        <v>0.988491470118431</v>
      </c>
    </row>
    <row r="538" spans="1:6">
      <c r="A538" s="13">
        <v>571</v>
      </c>
      <c r="B538" s="12">
        <v>2011</v>
      </c>
      <c r="C538" s="12">
        <v>12</v>
      </c>
      <c r="D538" s="12">
        <v>1.06330320270503</v>
      </c>
      <c r="E538" s="12">
        <v>1.05631251177943</v>
      </c>
      <c r="F538" s="12">
        <v>1.00661801393777</v>
      </c>
    </row>
    <row r="539" spans="1:6">
      <c r="A539" s="13">
        <v>572</v>
      </c>
      <c r="B539" s="12">
        <v>2011</v>
      </c>
      <c r="C539" s="12">
        <v>13</v>
      </c>
      <c r="D539" s="12">
        <v>1.00569968648323</v>
      </c>
      <c r="E539" s="12">
        <v>0.999925874095046</v>
      </c>
      <c r="F539" s="12">
        <v>1.00577424040898</v>
      </c>
    </row>
    <row r="540" spans="1:6">
      <c r="A540" s="13">
        <v>573</v>
      </c>
      <c r="B540" s="12">
        <v>2011</v>
      </c>
      <c r="C540" s="12">
        <v>14</v>
      </c>
      <c r="D540" s="12">
        <v>0.990167296083681</v>
      </c>
      <c r="E540" s="12">
        <v>1.00063472414248</v>
      </c>
      <c r="F540" s="12">
        <v>0.989539211656114</v>
      </c>
    </row>
    <row r="541" spans="1:6">
      <c r="A541" s="13">
        <v>574</v>
      </c>
      <c r="B541" s="12">
        <v>2011</v>
      </c>
      <c r="C541" s="12">
        <v>15</v>
      </c>
      <c r="D541" s="12">
        <v>1.01506151307693</v>
      </c>
      <c r="E541" s="12">
        <v>1.00022703453321</v>
      </c>
      <c r="F541" s="12">
        <v>1.01483111136927</v>
      </c>
    </row>
    <row r="542" spans="1:6">
      <c r="A542" s="13">
        <v>575</v>
      </c>
      <c r="B542" s="12">
        <v>2011</v>
      </c>
      <c r="C542" s="12">
        <v>16</v>
      </c>
      <c r="D542" s="12">
        <v>1.00582540763082</v>
      </c>
      <c r="E542" s="12">
        <v>0.99643990379564</v>
      </c>
      <c r="F542" s="12">
        <v>1.00941903651131</v>
      </c>
    </row>
    <row r="543" spans="1:6">
      <c r="A543" s="13">
        <v>576</v>
      </c>
      <c r="B543" s="12">
        <v>2011</v>
      </c>
      <c r="C543" s="12">
        <v>17</v>
      </c>
      <c r="D543" s="12">
        <v>1.03022721231404</v>
      </c>
      <c r="E543" s="12">
        <v>0.999879254079674</v>
      </c>
      <c r="F543" s="12">
        <v>1.03035162306903</v>
      </c>
    </row>
    <row r="544" spans="1:6">
      <c r="A544" s="13">
        <v>577</v>
      </c>
      <c r="B544" s="12">
        <v>2011</v>
      </c>
      <c r="C544" s="12">
        <v>18</v>
      </c>
      <c r="D544" s="12">
        <v>1.02702294166283</v>
      </c>
      <c r="E544" s="12">
        <v>1.00053188675909</v>
      </c>
      <c r="F544" s="12">
        <v>1.02647697215283</v>
      </c>
    </row>
    <row r="545" spans="1:6">
      <c r="A545" s="13">
        <v>578</v>
      </c>
      <c r="B545" s="12">
        <v>2011</v>
      </c>
      <c r="C545" s="12">
        <v>19</v>
      </c>
      <c r="D545" s="12">
        <v>1.00033980874449</v>
      </c>
      <c r="E545" s="12">
        <v>0.97741250313342</v>
      </c>
      <c r="F545" s="12">
        <v>1.02345714377253</v>
      </c>
    </row>
    <row r="546" spans="1:6">
      <c r="A546" s="13">
        <v>579</v>
      </c>
      <c r="B546" s="12">
        <v>2011</v>
      </c>
      <c r="C546" s="12">
        <v>20</v>
      </c>
      <c r="D546" s="12">
        <v>1.0010681495923</v>
      </c>
      <c r="E546" s="12">
        <v>1.000036446162</v>
      </c>
      <c r="F546" s="12">
        <v>1.00103166583004</v>
      </c>
    </row>
    <row r="547" spans="1:6">
      <c r="A547" s="13">
        <v>580</v>
      </c>
      <c r="B547" s="12">
        <v>2011</v>
      </c>
      <c r="C547" s="12">
        <v>21</v>
      </c>
      <c r="D547" s="12">
        <v>0.994134949943466</v>
      </c>
      <c r="E547" s="12">
        <v>1.00001538264719</v>
      </c>
      <c r="F547" s="12">
        <v>0.994119657751509</v>
      </c>
    </row>
    <row r="548" spans="1:6">
      <c r="A548" s="13">
        <v>581</v>
      </c>
      <c r="B548" s="12">
        <v>2011</v>
      </c>
      <c r="C548" s="12">
        <v>22</v>
      </c>
      <c r="D548" s="12">
        <v>0.973637113696571</v>
      </c>
      <c r="E548" s="12">
        <v>0.960552101748217</v>
      </c>
      <c r="F548" s="12">
        <v>1.01362238646351</v>
      </c>
    </row>
    <row r="549" spans="1:6">
      <c r="A549" s="13">
        <v>582</v>
      </c>
      <c r="B549" s="12">
        <v>2011</v>
      </c>
      <c r="C549" s="12">
        <v>23</v>
      </c>
      <c r="D549" s="12">
        <v>1.02368316445259</v>
      </c>
      <c r="E549" s="12">
        <v>1.00488526808265</v>
      </c>
      <c r="F549" s="12">
        <v>1.01870651005343</v>
      </c>
    </row>
    <row r="550" spans="1:6">
      <c r="A550" s="13">
        <v>583</v>
      </c>
      <c r="B550" s="12">
        <v>2011</v>
      </c>
      <c r="C550" s="12">
        <v>24</v>
      </c>
      <c r="D550" s="12">
        <v>1.00046184022006</v>
      </c>
      <c r="E550" s="12">
        <v>0.995331031837145</v>
      </c>
      <c r="F550" s="12">
        <v>1.00515487633642</v>
      </c>
    </row>
    <row r="551" spans="1:6">
      <c r="A551" s="13">
        <v>584</v>
      </c>
      <c r="B551" s="12">
        <v>2011</v>
      </c>
      <c r="C551" s="12">
        <v>25</v>
      </c>
      <c r="D551" s="12">
        <v>1.04995910454559</v>
      </c>
      <c r="E551" s="12">
        <v>1.0001645084591</v>
      </c>
      <c r="F551" s="12">
        <v>1.04978640580158</v>
      </c>
    </row>
    <row r="552" spans="1:6">
      <c r="A552" s="13">
        <v>585</v>
      </c>
      <c r="B552" s="12">
        <v>2011</v>
      </c>
      <c r="C552" s="12">
        <v>26</v>
      </c>
      <c r="D552" s="12">
        <v>0.971693852760636</v>
      </c>
      <c r="E552" s="12">
        <v>0.96964308008404</v>
      </c>
      <c r="F552" s="12">
        <v>1.00211497685975</v>
      </c>
    </row>
    <row r="553" spans="1:6">
      <c r="A553" s="13">
        <v>586</v>
      </c>
      <c r="B553" s="12">
        <v>2011</v>
      </c>
      <c r="C553" s="12">
        <v>27</v>
      </c>
      <c r="D553" s="12">
        <v>1.0102580690448</v>
      </c>
      <c r="E553" s="12">
        <v>1.00081906594397</v>
      </c>
      <c r="F553" s="12">
        <v>1.009431278262</v>
      </c>
    </row>
    <row r="554" spans="1:6">
      <c r="A554" s="13">
        <v>587</v>
      </c>
      <c r="B554" s="12">
        <v>2011</v>
      </c>
      <c r="C554" s="12">
        <v>28</v>
      </c>
      <c r="D554" s="12">
        <v>1.00512749831943</v>
      </c>
      <c r="E554" s="12">
        <v>1.00045864933992</v>
      </c>
      <c r="F554" s="12">
        <v>1.00466670859669</v>
      </c>
    </row>
    <row r="555" spans="1:6">
      <c r="A555" s="13">
        <v>588</v>
      </c>
      <c r="B555" s="12">
        <v>2011</v>
      </c>
      <c r="C555" s="12">
        <v>29</v>
      </c>
      <c r="D555" s="12">
        <v>1.0017146134451</v>
      </c>
      <c r="E555" s="12">
        <v>1.00126745885647</v>
      </c>
      <c r="F555" s="12">
        <v>1.000446588556</v>
      </c>
    </row>
    <row r="556" spans="1:6">
      <c r="A556" s="13">
        <v>589</v>
      </c>
      <c r="B556" s="12">
        <v>2011</v>
      </c>
      <c r="C556" s="12">
        <v>30</v>
      </c>
      <c r="D556" s="12">
        <v>1.052090027265</v>
      </c>
      <c r="E556" s="12">
        <v>0.990820275810132</v>
      </c>
      <c r="F556" s="12">
        <v>1.06183740174753</v>
      </c>
    </row>
    <row r="557" spans="1:6">
      <c r="A557" s="13">
        <v>590</v>
      </c>
      <c r="B557" s="12">
        <v>2011</v>
      </c>
      <c r="C557" s="12">
        <v>31</v>
      </c>
      <c r="D557" s="12">
        <v>1.00388451353647</v>
      </c>
      <c r="E557" s="12">
        <v>1.00024347945553</v>
      </c>
      <c r="F557" s="12">
        <v>1.00364014777974</v>
      </c>
    </row>
    <row r="558" spans="1:6">
      <c r="A558" s="13">
        <v>591</v>
      </c>
      <c r="B558" s="12">
        <v>2011</v>
      </c>
      <c r="C558" s="12">
        <v>32</v>
      </c>
      <c r="D558" s="12">
        <v>1.02108711298326</v>
      </c>
      <c r="E558" s="12">
        <v>1.00015719548363</v>
      </c>
      <c r="F558" s="12">
        <v>1.02092662792823</v>
      </c>
    </row>
    <row r="559" spans="1:6">
      <c r="A559" s="13">
        <v>592</v>
      </c>
      <c r="B559" s="12">
        <v>2011</v>
      </c>
      <c r="C559" s="12">
        <v>33</v>
      </c>
      <c r="D559" s="12">
        <v>0.983791799020413</v>
      </c>
      <c r="E559" s="12">
        <v>0.956512237039144</v>
      </c>
      <c r="F559" s="12">
        <v>1.0285198253874</v>
      </c>
    </row>
    <row r="560" spans="1:6">
      <c r="A560" s="13">
        <v>593</v>
      </c>
      <c r="B560" s="12">
        <v>2011</v>
      </c>
      <c r="C560" s="12">
        <v>34</v>
      </c>
      <c r="D560" s="12">
        <v>1.03159303508332</v>
      </c>
      <c r="E560" s="12">
        <v>1.00052695901616</v>
      </c>
      <c r="F560" s="12">
        <v>1.03104971414034</v>
      </c>
    </row>
    <row r="561" spans="1:6">
      <c r="A561" s="13">
        <v>594</v>
      </c>
      <c r="B561" s="12">
        <v>2011</v>
      </c>
      <c r="C561" s="12">
        <v>35</v>
      </c>
      <c r="D561" s="12">
        <v>0.997240690155599</v>
      </c>
      <c r="E561" s="12">
        <v>1.00011393879529</v>
      </c>
      <c r="F561" s="12">
        <v>0.997127078697503</v>
      </c>
    </row>
    <row r="562" spans="1:6">
      <c r="A562" s="13">
        <v>595</v>
      </c>
      <c r="B562" s="12">
        <v>2012</v>
      </c>
      <c r="C562" s="12">
        <v>1</v>
      </c>
      <c r="D562" s="12">
        <v>1.02555524810084</v>
      </c>
      <c r="E562" s="12">
        <v>1.00583811455261</v>
      </c>
      <c r="F562" s="12">
        <v>1.01960269079383</v>
      </c>
    </row>
    <row r="563" spans="1:6">
      <c r="A563" s="13">
        <v>596</v>
      </c>
      <c r="B563" s="12">
        <v>2012</v>
      </c>
      <c r="C563" s="12">
        <v>2</v>
      </c>
      <c r="D563" s="12">
        <v>0.998540664901795</v>
      </c>
      <c r="E563" s="12">
        <v>1.00117121772159</v>
      </c>
      <c r="F563" s="12">
        <v>0.997372524526047</v>
      </c>
    </row>
    <row r="564" spans="1:6">
      <c r="A564" s="13">
        <v>597</v>
      </c>
      <c r="B564" s="12">
        <v>2012</v>
      </c>
      <c r="C564" s="12">
        <v>3</v>
      </c>
      <c r="D564" s="12">
        <v>1.00876924991009</v>
      </c>
      <c r="E564" s="12">
        <v>1.0001720555769</v>
      </c>
      <c r="F564" s="12">
        <v>1.00859571539242</v>
      </c>
    </row>
    <row r="565" spans="1:6">
      <c r="A565" s="13">
        <v>598</v>
      </c>
      <c r="B565" s="12">
        <v>2012</v>
      </c>
      <c r="C565" s="12">
        <v>4</v>
      </c>
      <c r="D565" s="12">
        <v>0.983810104847642</v>
      </c>
      <c r="E565" s="12">
        <v>0.985926123768808</v>
      </c>
      <c r="F565" s="12">
        <v>0.997853775379156</v>
      </c>
    </row>
    <row r="566" spans="1:6">
      <c r="A566" s="13">
        <v>599</v>
      </c>
      <c r="B566" s="12">
        <v>2012</v>
      </c>
      <c r="C566" s="12">
        <v>5</v>
      </c>
      <c r="D566" s="12">
        <v>0.995299043294519</v>
      </c>
      <c r="E566" s="12">
        <v>0.997548225665833</v>
      </c>
      <c r="F566" s="12">
        <v>0.997745289587566</v>
      </c>
    </row>
    <row r="567" spans="1:6">
      <c r="A567" s="13">
        <v>600</v>
      </c>
      <c r="B567" s="12">
        <v>2012</v>
      </c>
      <c r="C567" s="12">
        <v>6</v>
      </c>
      <c r="D567" s="12">
        <v>0.999557245056891</v>
      </c>
      <c r="E567" s="12">
        <v>1.00180811660787</v>
      </c>
      <c r="F567" s="12">
        <v>0.997753190941791</v>
      </c>
    </row>
    <row r="568" spans="1:6">
      <c r="A568" s="13">
        <v>601</v>
      </c>
      <c r="B568" s="12">
        <v>2012</v>
      </c>
      <c r="C568" s="12">
        <v>7</v>
      </c>
      <c r="D568" s="12">
        <v>0.994843922835229</v>
      </c>
      <c r="E568" s="12">
        <v>1.0001948431955</v>
      </c>
      <c r="F568" s="12">
        <v>0.994650122027051</v>
      </c>
    </row>
    <row r="569" spans="1:6">
      <c r="A569" s="13">
        <v>602</v>
      </c>
      <c r="B569" s="12">
        <v>2012</v>
      </c>
      <c r="C569" s="12">
        <v>8</v>
      </c>
      <c r="D569" s="12">
        <v>0.999766899842239</v>
      </c>
      <c r="E569" s="12">
        <v>1.00090226730448</v>
      </c>
      <c r="F569" s="12">
        <v>0.998865656019246</v>
      </c>
    </row>
    <row r="570" spans="1:6">
      <c r="A570" s="13">
        <v>603</v>
      </c>
      <c r="B570" s="12">
        <v>2012</v>
      </c>
      <c r="C570" s="12">
        <v>9</v>
      </c>
      <c r="D570" s="12">
        <v>1.00560683215021</v>
      </c>
      <c r="E570" s="12">
        <v>1.00701532615647</v>
      </c>
      <c r="F570" s="12">
        <v>0.998601318202736</v>
      </c>
    </row>
    <row r="571" spans="1:6">
      <c r="A571" s="13">
        <v>604</v>
      </c>
      <c r="B571" s="12">
        <v>2012</v>
      </c>
      <c r="C571" s="12">
        <v>10</v>
      </c>
      <c r="D571" s="12">
        <v>0.991681640225791</v>
      </c>
      <c r="E571" s="12">
        <v>0.999715484015218</v>
      </c>
      <c r="F571" s="12">
        <v>0.991963869803076</v>
      </c>
    </row>
    <row r="572" spans="1:6">
      <c r="A572" s="13">
        <v>605</v>
      </c>
      <c r="B572" s="12">
        <v>2012</v>
      </c>
      <c r="C572" s="12">
        <v>11</v>
      </c>
      <c r="D572" s="12">
        <v>1.03063047685712</v>
      </c>
      <c r="E572" s="12">
        <v>0.980942806941168</v>
      </c>
      <c r="F572" s="12">
        <v>1.05065297340922</v>
      </c>
    </row>
    <row r="573" spans="1:6">
      <c r="A573" s="13">
        <v>606</v>
      </c>
      <c r="B573" s="12">
        <v>2012</v>
      </c>
      <c r="C573" s="12">
        <v>12</v>
      </c>
      <c r="D573" s="12">
        <v>1.01323323151246</v>
      </c>
      <c r="E573" s="12">
        <v>1.00028448842458</v>
      </c>
      <c r="F573" s="12">
        <v>1.01294506036805</v>
      </c>
    </row>
    <row r="574" spans="1:6">
      <c r="A574" s="13">
        <v>607</v>
      </c>
      <c r="B574" s="12">
        <v>2012</v>
      </c>
      <c r="C574" s="12">
        <v>13</v>
      </c>
      <c r="D574" s="12">
        <v>1.00559012183105</v>
      </c>
      <c r="E574" s="12">
        <v>1.0107587775345</v>
      </c>
      <c r="F574" s="12">
        <v>0.994886360803063</v>
      </c>
    </row>
    <row r="575" spans="1:6">
      <c r="A575" s="13">
        <v>608</v>
      </c>
      <c r="B575" s="12">
        <v>2012</v>
      </c>
      <c r="C575" s="12">
        <v>14</v>
      </c>
      <c r="D575" s="12">
        <v>0.998840017657414</v>
      </c>
      <c r="E575" s="12">
        <v>0.999850034845113</v>
      </c>
      <c r="F575" s="12">
        <v>0.998989831322199</v>
      </c>
    </row>
    <row r="576" spans="1:6">
      <c r="A576" s="13">
        <v>609</v>
      </c>
      <c r="B576" s="12">
        <v>2012</v>
      </c>
      <c r="C576" s="12">
        <v>15</v>
      </c>
      <c r="D576" s="12">
        <v>0.979028134481328</v>
      </c>
      <c r="E576" s="12">
        <v>0.999723713555879</v>
      </c>
      <c r="F576" s="12">
        <v>0.979298701437281</v>
      </c>
    </row>
    <row r="577" spans="1:6">
      <c r="A577" s="13">
        <v>610</v>
      </c>
      <c r="B577" s="12">
        <v>2012</v>
      </c>
      <c r="C577" s="12">
        <v>16</v>
      </c>
      <c r="D577" s="12">
        <v>0.991870981823142</v>
      </c>
      <c r="E577" s="12">
        <v>0.994778694079573</v>
      </c>
      <c r="F577" s="12">
        <v>0.997077026002129</v>
      </c>
    </row>
    <row r="578" spans="1:6">
      <c r="A578" s="13">
        <v>611</v>
      </c>
      <c r="B578" s="12">
        <v>2012</v>
      </c>
      <c r="C578" s="12">
        <v>17</v>
      </c>
      <c r="D578" s="12">
        <v>1.04305736959842</v>
      </c>
      <c r="E578" s="12">
        <v>0.995725461485247</v>
      </c>
      <c r="F578" s="12">
        <v>1.04753509872346</v>
      </c>
    </row>
    <row r="579" spans="1:6">
      <c r="A579" s="13">
        <v>612</v>
      </c>
      <c r="B579" s="12">
        <v>2012</v>
      </c>
      <c r="C579" s="12">
        <v>18</v>
      </c>
      <c r="D579" s="12">
        <v>1.01129246756665</v>
      </c>
      <c r="E579" s="12">
        <v>0.999788644144075</v>
      </c>
      <c r="F579" s="12">
        <v>1.01150625533702</v>
      </c>
    </row>
    <row r="580" spans="1:6">
      <c r="A580" s="13">
        <v>613</v>
      </c>
      <c r="B580" s="12">
        <v>2012</v>
      </c>
      <c r="C580" s="12">
        <v>19</v>
      </c>
      <c r="D580" s="12">
        <v>1.01704297833145</v>
      </c>
      <c r="E580" s="12">
        <v>1.00704218538583</v>
      </c>
      <c r="F580" s="12">
        <v>1.00993085800253</v>
      </c>
    </row>
    <row r="581" spans="1:6">
      <c r="A581" s="13">
        <v>614</v>
      </c>
      <c r="B581" s="12">
        <v>2012</v>
      </c>
      <c r="C581" s="12">
        <v>20</v>
      </c>
      <c r="D581" s="12">
        <v>0.99901385553417</v>
      </c>
      <c r="E581" s="12">
        <v>0.999968578210753</v>
      </c>
      <c r="F581" s="12">
        <v>0.99904524732338</v>
      </c>
    </row>
    <row r="582" spans="1:6">
      <c r="A582" s="13">
        <v>615</v>
      </c>
      <c r="B582" s="12">
        <v>2012</v>
      </c>
      <c r="C582" s="12">
        <v>21</v>
      </c>
      <c r="D582" s="12">
        <v>1.00656170347734</v>
      </c>
      <c r="E582" s="12">
        <v>1.00003786107272</v>
      </c>
      <c r="F582" s="12">
        <v>1.0065235954143</v>
      </c>
    </row>
    <row r="583" spans="1:6">
      <c r="A583" s="13">
        <v>616</v>
      </c>
      <c r="B583" s="12">
        <v>2012</v>
      </c>
      <c r="C583" s="12">
        <v>22</v>
      </c>
      <c r="D583" s="12">
        <v>0.996144614541236</v>
      </c>
      <c r="E583" s="12">
        <v>0.999829150177061</v>
      </c>
      <c r="F583" s="12">
        <v>0.996314834754345</v>
      </c>
    </row>
    <row r="584" spans="1:6">
      <c r="A584" s="13">
        <v>617</v>
      </c>
      <c r="B584" s="12">
        <v>2012</v>
      </c>
      <c r="C584" s="12">
        <v>23</v>
      </c>
      <c r="D584" s="12">
        <v>1.01361403827082</v>
      </c>
      <c r="E584" s="12">
        <v>0.993676284414451</v>
      </c>
      <c r="F584" s="12">
        <v>1.02006463691354</v>
      </c>
    </row>
    <row r="585" spans="1:6">
      <c r="A585" s="13">
        <v>618</v>
      </c>
      <c r="B585" s="12">
        <v>2012</v>
      </c>
      <c r="C585" s="12">
        <v>24</v>
      </c>
      <c r="D585" s="12">
        <v>1.00060703162345</v>
      </c>
      <c r="E585" s="12">
        <v>1.00579822709973</v>
      </c>
      <c r="F585" s="12">
        <v>0.994838730735041</v>
      </c>
    </row>
    <row r="586" spans="1:6">
      <c r="A586" s="13">
        <v>619</v>
      </c>
      <c r="B586" s="12">
        <v>2012</v>
      </c>
      <c r="C586" s="12">
        <v>25</v>
      </c>
      <c r="D586" s="12">
        <v>1.00420650167253</v>
      </c>
      <c r="E586" s="12">
        <v>0.999968740927726</v>
      </c>
      <c r="F586" s="12">
        <v>1.00423789321742</v>
      </c>
    </row>
    <row r="587" spans="1:6">
      <c r="A587" s="13">
        <v>620</v>
      </c>
      <c r="B587" s="12">
        <v>2012</v>
      </c>
      <c r="C587" s="12">
        <v>26</v>
      </c>
      <c r="D587" s="12">
        <v>1.03499155814467</v>
      </c>
      <c r="E587" s="12">
        <v>1.0276299154492</v>
      </c>
      <c r="F587" s="12">
        <v>1.00716370999404</v>
      </c>
    </row>
    <row r="588" spans="1:6">
      <c r="A588" s="13">
        <v>621</v>
      </c>
      <c r="B588" s="12">
        <v>2012</v>
      </c>
      <c r="C588" s="12">
        <v>27</v>
      </c>
      <c r="D588" s="12">
        <v>1.03731730488067</v>
      </c>
      <c r="E588" s="12">
        <v>1.03864110807144</v>
      </c>
      <c r="F588" s="12">
        <v>0.998725446951325</v>
      </c>
    </row>
    <row r="589" spans="1:6">
      <c r="A589" s="13">
        <v>622</v>
      </c>
      <c r="B589" s="12">
        <v>2012</v>
      </c>
      <c r="C589" s="12">
        <v>28</v>
      </c>
      <c r="D589" s="12">
        <v>1.00402901311663</v>
      </c>
      <c r="E589" s="12">
        <v>1.00930436762341</v>
      </c>
      <c r="F589" s="12">
        <v>0.994773276846903</v>
      </c>
    </row>
    <row r="590" spans="1:6">
      <c r="A590" s="13">
        <v>623</v>
      </c>
      <c r="B590" s="12">
        <v>2012</v>
      </c>
      <c r="C590" s="12">
        <v>29</v>
      </c>
      <c r="D590" s="12">
        <v>1.00483867809331</v>
      </c>
      <c r="E590" s="12">
        <v>1.00803614541119</v>
      </c>
      <c r="F590" s="12">
        <v>0.996828023149339</v>
      </c>
    </row>
    <row r="591" spans="1:6">
      <c r="A591" s="13">
        <v>624</v>
      </c>
      <c r="B591" s="12">
        <v>2012</v>
      </c>
      <c r="C591" s="12">
        <v>30</v>
      </c>
      <c r="D591" s="12">
        <v>1.05603305941928</v>
      </c>
      <c r="E591" s="12">
        <v>0.990473409676585</v>
      </c>
      <c r="F591" s="12">
        <v>1.06619021682178</v>
      </c>
    </row>
    <row r="592" spans="1:6">
      <c r="A592" s="13">
        <v>625</v>
      </c>
      <c r="B592" s="12">
        <v>2012</v>
      </c>
      <c r="C592" s="12">
        <v>31</v>
      </c>
      <c r="D592" s="12">
        <v>1.00284663348715</v>
      </c>
      <c r="E592" s="12">
        <v>1.00002594294168</v>
      </c>
      <c r="F592" s="12">
        <v>1.00282061737036</v>
      </c>
    </row>
    <row r="593" spans="1:6">
      <c r="A593" s="13">
        <v>626</v>
      </c>
      <c r="B593" s="12">
        <v>2012</v>
      </c>
      <c r="C593" s="12">
        <v>32</v>
      </c>
      <c r="D593" s="12">
        <v>0.990072266619676</v>
      </c>
      <c r="E593" s="12">
        <v>1.00016154200506</v>
      </c>
      <c r="F593" s="12">
        <v>0.989912354193149</v>
      </c>
    </row>
    <row r="594" spans="1:6">
      <c r="A594" s="13">
        <v>627</v>
      </c>
      <c r="B594" s="12">
        <v>2012</v>
      </c>
      <c r="C594" s="12">
        <v>33</v>
      </c>
      <c r="D594" s="12">
        <v>0.986146754824555</v>
      </c>
      <c r="E594" s="12">
        <v>1.00253740115542</v>
      </c>
      <c r="F594" s="12">
        <v>0.983650838051553</v>
      </c>
    </row>
    <row r="595" spans="1:6">
      <c r="A595" s="13">
        <v>628</v>
      </c>
      <c r="B595" s="12">
        <v>2012</v>
      </c>
      <c r="C595" s="12">
        <v>34</v>
      </c>
      <c r="D595" s="12">
        <v>0.997202349945645</v>
      </c>
      <c r="E595" s="12">
        <v>0.999660564410064</v>
      </c>
      <c r="F595" s="12">
        <v>0.997540950846782</v>
      </c>
    </row>
    <row r="596" spans="1:6">
      <c r="A596" s="13">
        <v>629</v>
      </c>
      <c r="B596" s="12">
        <v>2012</v>
      </c>
      <c r="C596" s="12">
        <v>35</v>
      </c>
      <c r="D596" s="12">
        <v>0.976803303518856</v>
      </c>
      <c r="E596" s="12">
        <v>0.99978961504663</v>
      </c>
      <c r="F596" s="12">
        <v>0.977008851480516</v>
      </c>
    </row>
    <row r="597" spans="1:6">
      <c r="A597" s="13">
        <v>630</v>
      </c>
      <c r="B597" s="12">
        <v>2013</v>
      </c>
      <c r="C597" s="12">
        <v>1</v>
      </c>
      <c r="D597" s="12">
        <v>1.000657284951</v>
      </c>
      <c r="E597" s="12">
        <v>0.99996024495753</v>
      </c>
      <c r="F597" s="12">
        <v>1.00069706770543</v>
      </c>
    </row>
    <row r="598" spans="1:6">
      <c r="A598" s="13">
        <v>631</v>
      </c>
      <c r="B598" s="12">
        <v>2013</v>
      </c>
      <c r="C598" s="12">
        <v>2</v>
      </c>
      <c r="D598" s="12">
        <v>1.0009614507024</v>
      </c>
      <c r="E598" s="12">
        <v>0.995860417945192</v>
      </c>
      <c r="F598" s="12">
        <v>1.00512223667624</v>
      </c>
    </row>
    <row r="599" spans="1:6">
      <c r="A599" s="13">
        <v>632</v>
      </c>
      <c r="B599" s="12">
        <v>2013</v>
      </c>
      <c r="C599" s="12">
        <v>3</v>
      </c>
      <c r="D599" s="12">
        <v>1.01673323542167</v>
      </c>
      <c r="E599" s="12">
        <v>1.01270705020237</v>
      </c>
      <c r="F599" s="12">
        <v>1.00397566622894</v>
      </c>
    </row>
    <row r="600" spans="1:6">
      <c r="A600" s="13">
        <v>633</v>
      </c>
      <c r="B600" s="12">
        <v>2013</v>
      </c>
      <c r="C600" s="12">
        <v>4</v>
      </c>
      <c r="D600" s="12">
        <v>0.998637042927127</v>
      </c>
      <c r="E600" s="12">
        <v>0.995206271010753</v>
      </c>
      <c r="F600" s="12">
        <v>1.0034472973255</v>
      </c>
    </row>
    <row r="601" spans="1:6">
      <c r="A601" s="13">
        <v>634</v>
      </c>
      <c r="B601" s="12">
        <v>2013</v>
      </c>
      <c r="C601" s="12">
        <v>5</v>
      </c>
      <c r="D601" s="12">
        <v>0.997790004045366</v>
      </c>
      <c r="E601" s="12">
        <v>0.996910910007422</v>
      </c>
      <c r="F601" s="12">
        <v>1.00088181805327</v>
      </c>
    </row>
    <row r="602" spans="1:6">
      <c r="A602" s="13">
        <v>635</v>
      </c>
      <c r="B602" s="12">
        <v>2013</v>
      </c>
      <c r="C602" s="12">
        <v>6</v>
      </c>
      <c r="D602" s="12">
        <v>1.00406934255174</v>
      </c>
      <c r="E602" s="12">
        <v>1.00102602267004</v>
      </c>
      <c r="F602" s="12">
        <v>1.00304020056699</v>
      </c>
    </row>
    <row r="603" spans="1:6">
      <c r="A603" s="13">
        <v>636</v>
      </c>
      <c r="B603" s="12">
        <v>2013</v>
      </c>
      <c r="C603" s="12">
        <v>7</v>
      </c>
      <c r="D603" s="12">
        <v>1.00420482644146</v>
      </c>
      <c r="E603" s="12">
        <v>0.999716781517151</v>
      </c>
      <c r="F603" s="12">
        <v>1.00448931638169</v>
      </c>
    </row>
    <row r="604" spans="1:6">
      <c r="A604" s="13">
        <v>637</v>
      </c>
      <c r="B604" s="12">
        <v>2013</v>
      </c>
      <c r="C604" s="12">
        <v>8</v>
      </c>
      <c r="D604" s="12">
        <v>0.997512658375689</v>
      </c>
      <c r="E604" s="12">
        <v>0.997422736792709</v>
      </c>
      <c r="F604" s="12">
        <v>1.0000901539334</v>
      </c>
    </row>
    <row r="605" spans="1:6">
      <c r="A605" s="13">
        <v>638</v>
      </c>
      <c r="B605" s="12">
        <v>2013</v>
      </c>
      <c r="C605" s="12">
        <v>9</v>
      </c>
      <c r="D605" s="12">
        <v>1.00469910995251</v>
      </c>
      <c r="E605" s="12">
        <v>0.999589623417192</v>
      </c>
      <c r="F605" s="12">
        <v>1.00511158420978</v>
      </c>
    </row>
    <row r="606" spans="1:6">
      <c r="A606" s="13">
        <v>639</v>
      </c>
      <c r="B606" s="12">
        <v>2013</v>
      </c>
      <c r="C606" s="12">
        <v>10</v>
      </c>
      <c r="D606" s="12">
        <v>1.0227921597736</v>
      </c>
      <c r="E606" s="12">
        <v>0.99997934944749</v>
      </c>
      <c r="F606" s="12">
        <v>1.02281328143298</v>
      </c>
    </row>
    <row r="607" spans="1:6">
      <c r="A607" s="13">
        <v>640</v>
      </c>
      <c r="B607" s="12">
        <v>2013</v>
      </c>
      <c r="C607" s="12">
        <v>11</v>
      </c>
      <c r="D607" s="12">
        <v>1.0070905264214</v>
      </c>
      <c r="E607" s="12">
        <v>1.02582326670476</v>
      </c>
      <c r="F607" s="12">
        <v>0.981738822961651</v>
      </c>
    </row>
    <row r="608" spans="1:6">
      <c r="A608" s="13">
        <v>641</v>
      </c>
      <c r="B608" s="12">
        <v>2013</v>
      </c>
      <c r="C608" s="12">
        <v>12</v>
      </c>
      <c r="D608" s="12">
        <v>1.00571062697857</v>
      </c>
      <c r="E608" s="12">
        <v>0.999743758157929</v>
      </c>
      <c r="F608" s="12">
        <v>1.00596839817398</v>
      </c>
    </row>
    <row r="609" spans="1:6">
      <c r="A609" s="13">
        <v>642</v>
      </c>
      <c r="B609" s="12">
        <v>2013</v>
      </c>
      <c r="C609" s="12">
        <v>13</v>
      </c>
      <c r="D609" s="12">
        <v>1.00663168619386</v>
      </c>
      <c r="E609" s="12">
        <v>0.999790753721229</v>
      </c>
      <c r="F609" s="12">
        <v>1.00684236421188</v>
      </c>
    </row>
    <row r="610" spans="1:6">
      <c r="A610" s="13">
        <v>643</v>
      </c>
      <c r="B610" s="12">
        <v>2013</v>
      </c>
      <c r="C610" s="12">
        <v>14</v>
      </c>
      <c r="D610" s="12">
        <v>1.00094261216143</v>
      </c>
      <c r="E610" s="12">
        <v>0.999497141394674</v>
      </c>
      <c r="F610" s="12">
        <v>1.00144619799986</v>
      </c>
    </row>
    <row r="611" spans="1:6">
      <c r="A611" s="13">
        <v>644</v>
      </c>
      <c r="B611" s="12">
        <v>2013</v>
      </c>
      <c r="C611" s="12">
        <v>15</v>
      </c>
      <c r="D611" s="12">
        <v>1.01281788077052</v>
      </c>
      <c r="E611" s="12">
        <v>1.00007518193472</v>
      </c>
      <c r="F611" s="12">
        <v>1.01274174088707</v>
      </c>
    </row>
    <row r="612" spans="1:6">
      <c r="A612" s="13">
        <v>645</v>
      </c>
      <c r="B612" s="12">
        <v>2013</v>
      </c>
      <c r="C612" s="12">
        <v>16</v>
      </c>
      <c r="D612" s="12">
        <v>1.01240750760969</v>
      </c>
      <c r="E612" s="12">
        <v>1.0113704685048</v>
      </c>
      <c r="F612" s="12">
        <v>1.00102538005329</v>
      </c>
    </row>
    <row r="613" spans="1:6">
      <c r="A613" s="13">
        <v>646</v>
      </c>
      <c r="B613" s="12">
        <v>2013</v>
      </c>
      <c r="C613" s="12">
        <v>17</v>
      </c>
      <c r="D613" s="12">
        <v>1.04450772126338</v>
      </c>
      <c r="E613" s="12">
        <v>1.0042047717214</v>
      </c>
      <c r="F613" s="12">
        <v>1.04013419441623</v>
      </c>
    </row>
    <row r="614" spans="1:6">
      <c r="A614" s="13">
        <v>647</v>
      </c>
      <c r="B614" s="12">
        <v>2013</v>
      </c>
      <c r="C614" s="12">
        <v>18</v>
      </c>
      <c r="D614" s="12">
        <v>0.88496897035587</v>
      </c>
      <c r="E614" s="12">
        <v>0.998930766847313</v>
      </c>
      <c r="F614" s="12">
        <v>0.885916221350241</v>
      </c>
    </row>
    <row r="615" spans="1:6">
      <c r="A615" s="13">
        <v>648</v>
      </c>
      <c r="B615" s="12">
        <v>2013</v>
      </c>
      <c r="C615" s="12">
        <v>19</v>
      </c>
      <c r="D615" s="12">
        <v>1.03800740941001</v>
      </c>
      <c r="E615" s="12">
        <v>1.01322214645538</v>
      </c>
      <c r="F615" s="12">
        <v>1.02446182512033</v>
      </c>
    </row>
    <row r="616" spans="1:6">
      <c r="A616" s="13">
        <v>649</v>
      </c>
      <c r="B616" s="12">
        <v>2013</v>
      </c>
      <c r="C616" s="12">
        <v>20</v>
      </c>
      <c r="D616" s="12">
        <v>1.00086245497741</v>
      </c>
      <c r="E616" s="12">
        <v>0.999989967353429</v>
      </c>
      <c r="F616" s="12">
        <v>1.00087249637742</v>
      </c>
    </row>
    <row r="617" spans="1:6">
      <c r="A617" s="13">
        <v>650</v>
      </c>
      <c r="B617" s="12">
        <v>2013</v>
      </c>
      <c r="C617" s="12">
        <v>21</v>
      </c>
      <c r="D617" s="12">
        <v>0.999484926289972</v>
      </c>
      <c r="E617" s="12">
        <v>0.999997556996909</v>
      </c>
      <c r="F617" s="12">
        <v>0.999487368040702</v>
      </c>
    </row>
    <row r="618" spans="1:6">
      <c r="A618" s="13">
        <v>651</v>
      </c>
      <c r="B618" s="12">
        <v>2013</v>
      </c>
      <c r="C618" s="12">
        <v>22</v>
      </c>
      <c r="D618" s="12">
        <v>1.05359569164316</v>
      </c>
      <c r="E618" s="12">
        <v>1.02356038008118</v>
      </c>
      <c r="F618" s="12">
        <v>1.02934395678699</v>
      </c>
    </row>
    <row r="619" spans="1:6">
      <c r="A619" s="13">
        <v>652</v>
      </c>
      <c r="B619" s="12">
        <v>2013</v>
      </c>
      <c r="C619" s="12">
        <v>23</v>
      </c>
      <c r="D619" s="12">
        <v>1.01889258006079</v>
      </c>
      <c r="E619" s="12">
        <v>1.01554342664268</v>
      </c>
      <c r="F619" s="12">
        <v>1.00329789286233</v>
      </c>
    </row>
    <row r="620" spans="1:6">
      <c r="A620" s="13">
        <v>653</v>
      </c>
      <c r="B620" s="12">
        <v>2013</v>
      </c>
      <c r="C620" s="12">
        <v>24</v>
      </c>
      <c r="D620" s="12">
        <v>1.00354518551039</v>
      </c>
      <c r="E620" s="12">
        <v>0.998583768496607</v>
      </c>
      <c r="F620" s="12">
        <v>1.00496845349414</v>
      </c>
    </row>
    <row r="621" spans="1:6">
      <c r="A621" s="13">
        <v>654</v>
      </c>
      <c r="B621" s="12">
        <v>2013</v>
      </c>
      <c r="C621" s="12">
        <v>25</v>
      </c>
      <c r="D621" s="12">
        <v>1.00629825442322</v>
      </c>
      <c r="E621" s="12">
        <v>0.999844622875041</v>
      </c>
      <c r="F621" s="12">
        <v>1.00645463445072</v>
      </c>
    </row>
    <row r="622" spans="1:6">
      <c r="A622" s="13">
        <v>655</v>
      </c>
      <c r="B622" s="12">
        <v>2013</v>
      </c>
      <c r="C622" s="12">
        <v>26</v>
      </c>
      <c r="D622" s="12">
        <v>1.03764101207342</v>
      </c>
      <c r="E622" s="12">
        <v>1.03364467078949</v>
      </c>
      <c r="F622" s="12">
        <v>1.00386626216616</v>
      </c>
    </row>
    <row r="623" spans="1:6">
      <c r="A623" s="13">
        <v>656</v>
      </c>
      <c r="B623" s="12">
        <v>2013</v>
      </c>
      <c r="C623" s="12">
        <v>27</v>
      </c>
      <c r="D623" s="12">
        <v>1.01382267172925</v>
      </c>
      <c r="E623" s="12">
        <v>1.00561019550365</v>
      </c>
      <c r="F623" s="12">
        <v>1.00816665966825</v>
      </c>
    </row>
    <row r="624" spans="1:6">
      <c r="A624" s="13">
        <v>657</v>
      </c>
      <c r="B624" s="12">
        <v>2013</v>
      </c>
      <c r="C624" s="12">
        <v>28</v>
      </c>
      <c r="D624" s="12">
        <v>0.998594680755081</v>
      </c>
      <c r="E624" s="12">
        <v>0.994483982149663</v>
      </c>
      <c r="F624" s="12">
        <v>1.00413349906002</v>
      </c>
    </row>
    <row r="625" spans="1:6">
      <c r="A625" s="13">
        <v>658</v>
      </c>
      <c r="B625" s="12">
        <v>2013</v>
      </c>
      <c r="C625" s="12">
        <v>29</v>
      </c>
      <c r="D625" s="12">
        <v>0.998537445813008</v>
      </c>
      <c r="E625" s="12">
        <v>0.998435576987472</v>
      </c>
      <c r="F625" s="12">
        <v>1.00010202844118</v>
      </c>
    </row>
    <row r="626" spans="1:6">
      <c r="A626" s="13">
        <v>659</v>
      </c>
      <c r="B626" s="12">
        <v>2013</v>
      </c>
      <c r="C626" s="12">
        <v>30</v>
      </c>
      <c r="D626" s="12">
        <v>1.05421576960061</v>
      </c>
      <c r="E626" s="12">
        <v>1.07577996327749</v>
      </c>
      <c r="F626" s="12">
        <v>0.979954828670366</v>
      </c>
    </row>
    <row r="627" spans="1:6">
      <c r="A627" s="13">
        <v>660</v>
      </c>
      <c r="B627" s="12">
        <v>2013</v>
      </c>
      <c r="C627" s="12">
        <v>31</v>
      </c>
      <c r="D627" s="12">
        <v>1.02126960636788</v>
      </c>
      <c r="E627" s="12">
        <v>0.999909329681861</v>
      </c>
      <c r="F627" s="12">
        <v>1.02136221360473</v>
      </c>
    </row>
    <row r="628" spans="1:6">
      <c r="A628" s="13">
        <v>661</v>
      </c>
      <c r="B628" s="12">
        <v>2013</v>
      </c>
      <c r="C628" s="12">
        <v>32</v>
      </c>
      <c r="D628" s="12">
        <v>1.00173593917924</v>
      </c>
      <c r="E628" s="12">
        <v>0.999877957575409</v>
      </c>
      <c r="F628" s="12">
        <v>1.00185820838409</v>
      </c>
    </row>
    <row r="629" spans="1:6">
      <c r="A629" s="13">
        <v>662</v>
      </c>
      <c r="B629" s="12">
        <v>2013</v>
      </c>
      <c r="C629" s="12">
        <v>33</v>
      </c>
      <c r="D629" s="12">
        <v>1.01648711306424</v>
      </c>
      <c r="E629" s="12">
        <v>1.01027646339067</v>
      </c>
      <c r="F629" s="12">
        <v>1.00614747536801</v>
      </c>
    </row>
    <row r="630" spans="1:6">
      <c r="A630" s="13">
        <v>663</v>
      </c>
      <c r="B630" s="12">
        <v>2013</v>
      </c>
      <c r="C630" s="12">
        <v>34</v>
      </c>
      <c r="D630" s="12">
        <v>0.989008952862032</v>
      </c>
      <c r="E630" s="12">
        <v>0.999614657870082</v>
      </c>
      <c r="F630" s="12">
        <v>0.989390206591559</v>
      </c>
    </row>
    <row r="631" spans="1:6">
      <c r="A631" s="13">
        <v>664</v>
      </c>
      <c r="B631" s="12">
        <v>2013</v>
      </c>
      <c r="C631" s="12">
        <v>35</v>
      </c>
      <c r="D631" s="12">
        <v>0.99419178700911</v>
      </c>
      <c r="E631" s="12">
        <v>1.00048975204801</v>
      </c>
      <c r="F631" s="12">
        <v>0.993705117892504</v>
      </c>
    </row>
    <row r="632" spans="1:6">
      <c r="A632" s="13">
        <v>665</v>
      </c>
      <c r="B632" s="12">
        <v>2014</v>
      </c>
      <c r="C632" s="12">
        <v>1</v>
      </c>
      <c r="D632" s="12">
        <v>0.9800474830702</v>
      </c>
      <c r="E632" s="12">
        <v>0.96904057819449</v>
      </c>
      <c r="F632" s="12">
        <v>1.01135855930432</v>
      </c>
    </row>
    <row r="633" spans="1:6">
      <c r="A633" s="13">
        <v>666</v>
      </c>
      <c r="B633" s="12">
        <v>2014</v>
      </c>
      <c r="C633" s="12">
        <v>2</v>
      </c>
      <c r="D633" s="12">
        <v>1.00321729294833</v>
      </c>
      <c r="E633" s="12">
        <v>0.997871087851273</v>
      </c>
      <c r="F633" s="12">
        <v>1.00535761098016</v>
      </c>
    </row>
    <row r="634" spans="1:6">
      <c r="A634" s="13">
        <v>667</v>
      </c>
      <c r="B634" s="12">
        <v>2014</v>
      </c>
      <c r="C634" s="12">
        <v>3</v>
      </c>
      <c r="D634" s="12">
        <v>0.999042248853834</v>
      </c>
      <c r="E634" s="12">
        <v>1.00337654757066</v>
      </c>
      <c r="F634" s="12">
        <v>0.995680286999615</v>
      </c>
    </row>
    <row r="635" spans="1:6">
      <c r="A635" s="13">
        <v>668</v>
      </c>
      <c r="B635" s="12">
        <v>2014</v>
      </c>
      <c r="C635" s="12">
        <v>4</v>
      </c>
      <c r="D635" s="12">
        <v>0.993919566893537</v>
      </c>
      <c r="E635" s="12">
        <v>0.98675597594674</v>
      </c>
      <c r="F635" s="12">
        <v>1.00725973910614</v>
      </c>
    </row>
    <row r="636" spans="1:6">
      <c r="A636" s="13">
        <v>669</v>
      </c>
      <c r="B636" s="12">
        <v>2014</v>
      </c>
      <c r="C636" s="12">
        <v>5</v>
      </c>
      <c r="D636" s="12">
        <v>0.999125596954047</v>
      </c>
      <c r="E636" s="12">
        <v>0.995543071103682</v>
      </c>
      <c r="F636" s="12">
        <v>1.00359856439601</v>
      </c>
    </row>
    <row r="637" spans="1:6">
      <c r="A637" s="13">
        <v>670</v>
      </c>
      <c r="B637" s="12">
        <v>2014</v>
      </c>
      <c r="C637" s="12">
        <v>6</v>
      </c>
      <c r="D637" s="12">
        <v>1.00134020712079</v>
      </c>
      <c r="E637" s="12">
        <v>0.997202442190941</v>
      </c>
      <c r="F637" s="12">
        <v>1.0041493730408</v>
      </c>
    </row>
    <row r="638" spans="1:6">
      <c r="A638" s="13">
        <v>671</v>
      </c>
      <c r="B638" s="12">
        <v>2014</v>
      </c>
      <c r="C638" s="12">
        <v>7</v>
      </c>
      <c r="D638" s="12">
        <v>0.994364308425749</v>
      </c>
      <c r="E638" s="12">
        <v>0.99997843069075</v>
      </c>
      <c r="F638" s="12">
        <v>0.994385756639647</v>
      </c>
    </row>
    <row r="639" spans="1:6">
      <c r="A639" s="13">
        <v>672</v>
      </c>
      <c r="B639" s="12">
        <v>2014</v>
      </c>
      <c r="C639" s="12">
        <v>8</v>
      </c>
      <c r="D639" s="12">
        <v>1.00053108140147</v>
      </c>
      <c r="E639" s="12">
        <v>0.998232319073614</v>
      </c>
      <c r="F639" s="12">
        <v>1.00230283300183</v>
      </c>
    </row>
    <row r="640" spans="1:6">
      <c r="A640" s="13">
        <v>673</v>
      </c>
      <c r="B640" s="12">
        <v>2014</v>
      </c>
      <c r="C640" s="12">
        <v>9</v>
      </c>
      <c r="D640" s="12">
        <v>1.0063343490873</v>
      </c>
      <c r="E640" s="12">
        <v>1.00775836993305</v>
      </c>
      <c r="F640" s="12">
        <v>0.99858694217956</v>
      </c>
    </row>
    <row r="641" spans="1:6">
      <c r="A641" s="13">
        <v>674</v>
      </c>
      <c r="B641" s="12">
        <v>2014</v>
      </c>
      <c r="C641" s="12">
        <v>10</v>
      </c>
      <c r="D641" s="12">
        <v>0.998236342888347</v>
      </c>
      <c r="E641" s="12">
        <v>0.999951081150869</v>
      </c>
      <c r="F641" s="12">
        <v>0.998285177850352</v>
      </c>
    </row>
    <row r="642" spans="1:6">
      <c r="A642" s="13">
        <v>675</v>
      </c>
      <c r="B642" s="12">
        <v>2014</v>
      </c>
      <c r="C642" s="12">
        <v>11</v>
      </c>
      <c r="D642" s="12">
        <v>1.00165463625926</v>
      </c>
      <c r="E642" s="12">
        <v>0.999831891673845</v>
      </c>
      <c r="F642" s="12">
        <v>1.00182305105547</v>
      </c>
    </row>
    <row r="643" spans="1:6">
      <c r="A643" s="13">
        <v>676</v>
      </c>
      <c r="B643" s="12">
        <v>2014</v>
      </c>
      <c r="C643" s="12">
        <v>12</v>
      </c>
      <c r="D643" s="12">
        <v>1.0071721560189</v>
      </c>
      <c r="E643" s="12">
        <v>0.999984437297752</v>
      </c>
      <c r="F643" s="12">
        <v>1.00718783058322</v>
      </c>
    </row>
    <row r="644" spans="1:6">
      <c r="A644" s="13">
        <v>677</v>
      </c>
      <c r="B644" s="12">
        <v>2014</v>
      </c>
      <c r="C644" s="12">
        <v>13</v>
      </c>
      <c r="D644" s="12">
        <v>1.00026832111518</v>
      </c>
      <c r="E644" s="12">
        <v>0.997098440139597</v>
      </c>
      <c r="F644" s="12">
        <v>1.00317910534003</v>
      </c>
    </row>
    <row r="645" spans="1:6">
      <c r="A645" s="13">
        <v>678</v>
      </c>
      <c r="B645" s="12">
        <v>2014</v>
      </c>
      <c r="C645" s="12">
        <v>14</v>
      </c>
      <c r="D645" s="12">
        <v>0.993231083477185</v>
      </c>
      <c r="E645" s="12">
        <v>0.999534348073983</v>
      </c>
      <c r="F645" s="12">
        <v>0.993693798908518</v>
      </c>
    </row>
    <row r="646" spans="1:6">
      <c r="A646" s="13">
        <v>679</v>
      </c>
      <c r="B646" s="12">
        <v>2014</v>
      </c>
      <c r="C646" s="12">
        <v>15</v>
      </c>
      <c r="D646" s="12">
        <v>0.985460014206566</v>
      </c>
      <c r="E646" s="12">
        <v>0.999456856135705</v>
      </c>
      <c r="F646" s="12">
        <v>0.985995551640662</v>
      </c>
    </row>
    <row r="647" spans="1:6">
      <c r="A647" s="13">
        <v>680</v>
      </c>
      <c r="B647" s="12">
        <v>2014</v>
      </c>
      <c r="C647" s="12">
        <v>16</v>
      </c>
      <c r="D647" s="12">
        <v>1.00566204487218</v>
      </c>
      <c r="E647" s="12">
        <v>1.00174734599098</v>
      </c>
      <c r="F647" s="12">
        <v>1.00390787047938</v>
      </c>
    </row>
    <row r="648" spans="1:6">
      <c r="A648" s="13">
        <v>681</v>
      </c>
      <c r="B648" s="12">
        <v>2014</v>
      </c>
      <c r="C648" s="12">
        <v>17</v>
      </c>
      <c r="D648" s="12">
        <v>0.998649211808635</v>
      </c>
      <c r="E648" s="12">
        <v>1.00004703284782</v>
      </c>
      <c r="F648" s="12">
        <v>0.998602244701229</v>
      </c>
    </row>
    <row r="649" spans="1:6">
      <c r="A649" s="13">
        <v>682</v>
      </c>
      <c r="B649" s="12">
        <v>2014</v>
      </c>
      <c r="C649" s="12">
        <v>18</v>
      </c>
      <c r="D649" s="12">
        <v>0.963904442148716</v>
      </c>
      <c r="E649" s="12">
        <v>0.937675537394195</v>
      </c>
      <c r="F649" s="12">
        <v>1.02797226088185</v>
      </c>
    </row>
    <row r="650" spans="1:6">
      <c r="A650" s="13">
        <v>683</v>
      </c>
      <c r="B650" s="12">
        <v>2014</v>
      </c>
      <c r="C650" s="12">
        <v>19</v>
      </c>
      <c r="D650" s="12">
        <v>1.01866214550481</v>
      </c>
      <c r="E650" s="12">
        <v>0.983809423365623</v>
      </c>
      <c r="F650" s="12">
        <v>1.03542629427146</v>
      </c>
    </row>
    <row r="651" spans="1:6">
      <c r="A651" s="13">
        <v>684</v>
      </c>
      <c r="B651" s="12">
        <v>2014</v>
      </c>
      <c r="C651" s="12">
        <v>20</v>
      </c>
      <c r="D651" s="12">
        <v>1.00173383576421</v>
      </c>
      <c r="E651" s="12">
        <v>0.999975633476778</v>
      </c>
      <c r="F651" s="12">
        <v>1.00175824512975</v>
      </c>
    </row>
    <row r="652" spans="1:6">
      <c r="A652" s="13">
        <v>685</v>
      </c>
      <c r="B652" s="12">
        <v>2014</v>
      </c>
      <c r="C652" s="12">
        <v>21</v>
      </c>
      <c r="D652" s="12">
        <v>0.997297170388483</v>
      </c>
      <c r="E652" s="12">
        <v>0.999961990917213</v>
      </c>
      <c r="F652" s="12">
        <v>0.997335078180035</v>
      </c>
    </row>
    <row r="653" spans="1:6">
      <c r="A653" s="13">
        <v>686</v>
      </c>
      <c r="B653" s="12">
        <v>2014</v>
      </c>
      <c r="C653" s="12">
        <v>22</v>
      </c>
      <c r="D653" s="12">
        <v>1.01406693128089</v>
      </c>
      <c r="E653" s="12">
        <v>1.02350756263963</v>
      </c>
      <c r="F653" s="12">
        <v>0.990776197750423</v>
      </c>
    </row>
    <row r="654" spans="1:6">
      <c r="A654" s="13">
        <v>687</v>
      </c>
      <c r="B654" s="12">
        <v>2014</v>
      </c>
      <c r="C654" s="12">
        <v>23</v>
      </c>
      <c r="D654" s="12">
        <v>1.02747605701119</v>
      </c>
      <c r="E654" s="12">
        <v>1.01220460774485</v>
      </c>
      <c r="F654" s="12">
        <v>1.01508731451081</v>
      </c>
    </row>
    <row r="655" spans="1:6">
      <c r="A655" s="13">
        <v>688</v>
      </c>
      <c r="B655" s="12">
        <v>2014</v>
      </c>
      <c r="C655" s="12">
        <v>24</v>
      </c>
      <c r="D655" s="12">
        <v>0.998617415024687</v>
      </c>
      <c r="E655" s="12">
        <v>0.99675063474294</v>
      </c>
      <c r="F655" s="12">
        <v>1.00187286590716</v>
      </c>
    </row>
    <row r="656" spans="1:6">
      <c r="A656" s="13">
        <v>689</v>
      </c>
      <c r="B656" s="12">
        <v>2014</v>
      </c>
      <c r="C656" s="12">
        <v>25</v>
      </c>
      <c r="D656" s="12">
        <v>0.982870801465125</v>
      </c>
      <c r="E656" s="12">
        <v>0.999901219677597</v>
      </c>
      <c r="F656" s="12">
        <v>0.982967899351135</v>
      </c>
    </row>
    <row r="657" spans="1:6">
      <c r="A657" s="13">
        <v>690</v>
      </c>
      <c r="B657" s="12">
        <v>2014</v>
      </c>
      <c r="C657" s="12">
        <v>26</v>
      </c>
      <c r="D657" s="12">
        <v>0.969423644996641</v>
      </c>
      <c r="E657" s="12">
        <v>0.972327975728845</v>
      </c>
      <c r="F657" s="12">
        <v>0.997013013299317</v>
      </c>
    </row>
    <row r="658" spans="1:6">
      <c r="A658" s="13">
        <v>691</v>
      </c>
      <c r="B658" s="12">
        <v>2014</v>
      </c>
      <c r="C658" s="12">
        <v>27</v>
      </c>
      <c r="D658" s="12">
        <v>0.988478466600877</v>
      </c>
      <c r="E658" s="12">
        <v>0.999895573801051</v>
      </c>
      <c r="F658" s="12">
        <v>0.988581700430203</v>
      </c>
    </row>
    <row r="659" spans="1:6">
      <c r="A659" s="13">
        <v>692</v>
      </c>
      <c r="B659" s="12">
        <v>2014</v>
      </c>
      <c r="C659" s="12">
        <v>28</v>
      </c>
      <c r="D659" s="12">
        <v>1.00637485014605</v>
      </c>
      <c r="E659" s="12">
        <v>1.00396337137045</v>
      </c>
      <c r="F659" s="12">
        <v>1.00240195892038</v>
      </c>
    </row>
    <row r="660" spans="1:6">
      <c r="A660" s="13">
        <v>693</v>
      </c>
      <c r="B660" s="12">
        <v>2014</v>
      </c>
      <c r="C660" s="12">
        <v>29</v>
      </c>
      <c r="D660" s="12">
        <v>0.999027441716897</v>
      </c>
      <c r="E660" s="12">
        <v>0.995667159287632</v>
      </c>
      <c r="F660" s="12">
        <v>1.00337490535659</v>
      </c>
    </row>
    <row r="661" spans="1:6">
      <c r="A661" s="13">
        <v>694</v>
      </c>
      <c r="B661" s="12">
        <v>2014</v>
      </c>
      <c r="C661" s="12">
        <v>30</v>
      </c>
      <c r="D661" s="12">
        <v>0.978084253164353</v>
      </c>
      <c r="E661" s="12">
        <v>0.994570023455495</v>
      </c>
      <c r="F661" s="12">
        <v>0.983424223631972</v>
      </c>
    </row>
    <row r="662" spans="1:6">
      <c r="A662" s="13">
        <v>695</v>
      </c>
      <c r="B662" s="12">
        <v>2014</v>
      </c>
      <c r="C662" s="12">
        <v>31</v>
      </c>
      <c r="D662" s="12">
        <v>0.978694084311791</v>
      </c>
      <c r="E662" s="12">
        <v>0.999829147392088</v>
      </c>
      <c r="F662" s="12">
        <v>0.978861325322007</v>
      </c>
    </row>
    <row r="663" spans="1:6">
      <c r="A663" s="13">
        <v>696</v>
      </c>
      <c r="B663" s="12">
        <v>2014</v>
      </c>
      <c r="C663" s="12">
        <v>32</v>
      </c>
      <c r="D663" s="12">
        <v>1.00706647456083</v>
      </c>
      <c r="E663" s="12">
        <v>0.999817003255213</v>
      </c>
      <c r="F663" s="12">
        <v>1.00725079817808</v>
      </c>
    </row>
    <row r="664" spans="1:6">
      <c r="A664" s="13">
        <v>697</v>
      </c>
      <c r="B664" s="12">
        <v>2014</v>
      </c>
      <c r="C664" s="12">
        <v>33</v>
      </c>
      <c r="D664" s="12">
        <v>0.984792040742698</v>
      </c>
      <c r="E664" s="12">
        <v>0.962562255918293</v>
      </c>
      <c r="F664" s="12">
        <v>1.02309438655809</v>
      </c>
    </row>
    <row r="665" spans="1:6">
      <c r="A665" s="13">
        <v>698</v>
      </c>
      <c r="B665" s="12">
        <v>2014</v>
      </c>
      <c r="C665" s="12">
        <v>34</v>
      </c>
      <c r="D665" s="12">
        <v>0.985621886423914</v>
      </c>
      <c r="E665" s="12">
        <v>1.00008719611478</v>
      </c>
      <c r="F665" s="12">
        <v>0.985535951517969</v>
      </c>
    </row>
    <row r="666" spans="1:6">
      <c r="A666" s="13">
        <v>699</v>
      </c>
      <c r="B666" s="12">
        <v>2014</v>
      </c>
      <c r="C666" s="12">
        <v>35</v>
      </c>
      <c r="D666" s="12">
        <v>0.991331516396542</v>
      </c>
      <c r="E666" s="12">
        <v>0.999920678368913</v>
      </c>
      <c r="F666" s="12">
        <v>0.991410156667246</v>
      </c>
    </row>
    <row r="667" spans="1:6">
      <c r="A667" s="13">
        <v>700</v>
      </c>
      <c r="B667" s="12">
        <v>2015</v>
      </c>
      <c r="C667" s="12">
        <v>1</v>
      </c>
      <c r="D667" s="12">
        <v>0.973542054858091</v>
      </c>
      <c r="E667" s="12">
        <v>0.946086017161488</v>
      </c>
      <c r="F667" s="12">
        <v>1.02902065689437</v>
      </c>
    </row>
    <row r="668" spans="1:6">
      <c r="A668" s="13">
        <v>701</v>
      </c>
      <c r="B668" s="12">
        <v>2015</v>
      </c>
      <c r="C668" s="12">
        <v>2</v>
      </c>
      <c r="D668" s="12">
        <v>1.00390696412191</v>
      </c>
      <c r="E668" s="12">
        <v>1.00393062078566</v>
      </c>
      <c r="F668" s="12">
        <v>0.999976435957559</v>
      </c>
    </row>
    <row r="669" spans="1:6">
      <c r="A669" s="13">
        <v>702</v>
      </c>
      <c r="B669" s="12">
        <v>2015</v>
      </c>
      <c r="C669" s="12">
        <v>3</v>
      </c>
      <c r="D669" s="12">
        <v>0.983403178385407</v>
      </c>
      <c r="E669" s="12">
        <v>0.977728541555766</v>
      </c>
      <c r="F669" s="12">
        <v>1.0058038981051</v>
      </c>
    </row>
    <row r="670" spans="1:6">
      <c r="A670" s="13">
        <v>703</v>
      </c>
      <c r="B670" s="12">
        <v>2015</v>
      </c>
      <c r="C670" s="12">
        <v>4</v>
      </c>
      <c r="D670" s="12">
        <v>0.979546927758163</v>
      </c>
      <c r="E670" s="12">
        <v>0.973849064903025</v>
      </c>
      <c r="F670" s="12">
        <v>1.00585086853855</v>
      </c>
    </row>
    <row r="671" spans="1:6">
      <c r="A671" s="13">
        <v>704</v>
      </c>
      <c r="B671" s="12">
        <v>2015</v>
      </c>
      <c r="C671" s="12">
        <v>5</v>
      </c>
      <c r="D671" s="12">
        <v>0.994352662102645</v>
      </c>
      <c r="E671" s="12">
        <v>0.995881976104525</v>
      </c>
      <c r="F671" s="12">
        <v>0.998464362204986</v>
      </c>
    </row>
    <row r="672" spans="1:6">
      <c r="A672" s="13">
        <v>705</v>
      </c>
      <c r="B672" s="12">
        <v>2015</v>
      </c>
      <c r="C672" s="12">
        <v>6</v>
      </c>
      <c r="D672" s="12">
        <v>0.997536834381905</v>
      </c>
      <c r="E672" s="12">
        <v>0.99754047588442</v>
      </c>
      <c r="F672" s="12">
        <v>0.999996349519039</v>
      </c>
    </row>
    <row r="673" spans="1:6">
      <c r="A673" s="13">
        <v>706</v>
      </c>
      <c r="B673" s="12">
        <v>2015</v>
      </c>
      <c r="C673" s="12">
        <v>7</v>
      </c>
      <c r="D673" s="12">
        <v>0.984812208324371</v>
      </c>
      <c r="E673" s="12">
        <v>0.999851035759433</v>
      </c>
      <c r="F673" s="12">
        <v>0.984958931983664</v>
      </c>
    </row>
    <row r="674" spans="1:6">
      <c r="A674" s="13">
        <v>707</v>
      </c>
      <c r="B674" s="12">
        <v>2015</v>
      </c>
      <c r="C674" s="12">
        <v>8</v>
      </c>
      <c r="D674" s="12">
        <v>1.0032882407186</v>
      </c>
      <c r="E674" s="12">
        <v>1.00324896645317</v>
      </c>
      <c r="F674" s="12">
        <v>1.00003914707788</v>
      </c>
    </row>
    <row r="675" spans="1:6">
      <c r="A675" s="13">
        <v>708</v>
      </c>
      <c r="B675" s="12">
        <v>2015</v>
      </c>
      <c r="C675" s="12">
        <v>9</v>
      </c>
      <c r="D675" s="12">
        <v>0.993229073099913</v>
      </c>
      <c r="E675" s="12">
        <v>1.00179295447007</v>
      </c>
      <c r="F675" s="12">
        <v>0.991451445798311</v>
      </c>
    </row>
    <row r="676" spans="1:6">
      <c r="A676" s="13">
        <v>709</v>
      </c>
      <c r="B676" s="12">
        <v>2015</v>
      </c>
      <c r="C676" s="12">
        <v>10</v>
      </c>
      <c r="D676" s="12">
        <v>0.949500599073655</v>
      </c>
      <c r="E676" s="12">
        <v>0.999968538024831</v>
      </c>
      <c r="F676" s="12">
        <v>0.949530473177824</v>
      </c>
    </row>
    <row r="677" spans="1:6">
      <c r="A677" s="13">
        <v>710</v>
      </c>
      <c r="B677" s="12">
        <v>2015</v>
      </c>
      <c r="C677" s="12">
        <v>11</v>
      </c>
      <c r="D677" s="12">
        <v>0.970466110573234</v>
      </c>
      <c r="E677" s="12">
        <v>0.9502167955078</v>
      </c>
      <c r="F677" s="12">
        <v>1.02131020537751</v>
      </c>
    </row>
    <row r="678" spans="1:6">
      <c r="A678" s="13">
        <v>711</v>
      </c>
      <c r="B678" s="12">
        <v>2015</v>
      </c>
      <c r="C678" s="12">
        <v>12</v>
      </c>
      <c r="D678" s="12">
        <v>0.990681094505102</v>
      </c>
      <c r="E678" s="12">
        <v>0.999993131533225</v>
      </c>
      <c r="F678" s="12">
        <v>0.990687899012021</v>
      </c>
    </row>
    <row r="679" spans="1:6">
      <c r="A679" s="13">
        <v>712</v>
      </c>
      <c r="B679" s="12">
        <v>2015</v>
      </c>
      <c r="C679" s="12">
        <v>13</v>
      </c>
      <c r="D679" s="12">
        <v>0.991379833124711</v>
      </c>
      <c r="E679" s="12">
        <v>0.992677619490294</v>
      </c>
      <c r="F679" s="12">
        <v>0.998692640651807</v>
      </c>
    </row>
    <row r="680" spans="1:6">
      <c r="A680" s="13">
        <v>713</v>
      </c>
      <c r="B680" s="12">
        <v>2015</v>
      </c>
      <c r="C680" s="12">
        <v>14</v>
      </c>
      <c r="D680" s="12">
        <v>0.991626900977752</v>
      </c>
      <c r="E680" s="12">
        <v>0.999769686907405</v>
      </c>
      <c r="F680" s="12">
        <v>0.99185533824811</v>
      </c>
    </row>
    <row r="681" spans="1:6">
      <c r="A681" s="13">
        <v>714</v>
      </c>
      <c r="B681" s="12">
        <v>2015</v>
      </c>
      <c r="C681" s="12">
        <v>15</v>
      </c>
      <c r="D681" s="12">
        <v>0.99576331366155</v>
      </c>
      <c r="E681" s="12">
        <v>0.999710291640944</v>
      </c>
      <c r="F681" s="12">
        <v>0.996051878216724</v>
      </c>
    </row>
    <row r="682" spans="1:6">
      <c r="A682" s="13">
        <v>715</v>
      </c>
      <c r="B682" s="12">
        <v>2015</v>
      </c>
      <c r="C682" s="12">
        <v>16</v>
      </c>
      <c r="D682" s="12">
        <v>0.990700476897468</v>
      </c>
      <c r="E682" s="12">
        <v>0.995493299032528</v>
      </c>
      <c r="F682" s="12">
        <v>0.995185480264189</v>
      </c>
    </row>
    <row r="683" spans="1:6">
      <c r="A683" s="13">
        <v>716</v>
      </c>
      <c r="B683" s="12">
        <v>2015</v>
      </c>
      <c r="C683" s="12">
        <v>17</v>
      </c>
      <c r="D683" s="12">
        <v>0.950349906477878</v>
      </c>
      <c r="E683" s="12">
        <v>0.999984649903529</v>
      </c>
      <c r="F683" s="12">
        <v>0.950364494664553</v>
      </c>
    </row>
    <row r="684" spans="1:6">
      <c r="A684" s="13">
        <v>717</v>
      </c>
      <c r="B684" s="12">
        <v>2015</v>
      </c>
      <c r="C684" s="12">
        <v>18</v>
      </c>
      <c r="D684" s="12">
        <v>0.965643926018697</v>
      </c>
      <c r="E684" s="12">
        <v>0.94002321591333</v>
      </c>
      <c r="F684" s="12">
        <v>1.02725540143227</v>
      </c>
    </row>
    <row r="685" spans="1:6">
      <c r="A685" s="13">
        <v>718</v>
      </c>
      <c r="B685" s="12">
        <v>2015</v>
      </c>
      <c r="C685" s="12">
        <v>19</v>
      </c>
      <c r="D685" s="12">
        <v>0.994188085415287</v>
      </c>
      <c r="E685" s="12">
        <v>1.01814312109494</v>
      </c>
      <c r="F685" s="12">
        <v>0.976471838601737</v>
      </c>
    </row>
    <row r="686" spans="1:6">
      <c r="A686" s="13">
        <v>719</v>
      </c>
      <c r="B686" s="12">
        <v>2015</v>
      </c>
      <c r="C686" s="12">
        <v>20</v>
      </c>
      <c r="D686" s="12">
        <v>0.999515283758638</v>
      </c>
      <c r="E686" s="12">
        <v>0.999989761244849</v>
      </c>
      <c r="F686" s="12">
        <v>0.99952551765568</v>
      </c>
    </row>
    <row r="687" spans="1:6">
      <c r="A687" s="13">
        <v>720</v>
      </c>
      <c r="B687" s="12">
        <v>2015</v>
      </c>
      <c r="C687" s="12">
        <v>21</v>
      </c>
      <c r="D687" s="12">
        <v>1.01451578314249</v>
      </c>
      <c r="E687" s="12">
        <v>1.00006606371799</v>
      </c>
      <c r="F687" s="12">
        <v>1.01444876488538</v>
      </c>
    </row>
    <row r="688" spans="1:6">
      <c r="A688" s="13">
        <v>721</v>
      </c>
      <c r="B688" s="12">
        <v>2015</v>
      </c>
      <c r="C688" s="12">
        <v>22</v>
      </c>
      <c r="D688" s="12">
        <v>0.953537472586997</v>
      </c>
      <c r="E688" s="12">
        <v>0.971319525346666</v>
      </c>
      <c r="F688" s="12">
        <v>0.98169289065478</v>
      </c>
    </row>
    <row r="689" spans="1:6">
      <c r="A689" s="13">
        <v>722</v>
      </c>
      <c r="B689" s="12">
        <v>2015</v>
      </c>
      <c r="C689" s="12">
        <v>23</v>
      </c>
      <c r="D689" s="12">
        <v>0.867582762876763</v>
      </c>
      <c r="E689" s="12">
        <v>0.894822636425782</v>
      </c>
      <c r="F689" s="12">
        <v>0.969558354426722</v>
      </c>
    </row>
    <row r="690" spans="1:6">
      <c r="A690" s="13">
        <v>723</v>
      </c>
      <c r="B690" s="12">
        <v>2015</v>
      </c>
      <c r="C690" s="12">
        <v>24</v>
      </c>
      <c r="D690" s="12">
        <v>0.991714651597891</v>
      </c>
      <c r="E690" s="12">
        <v>0.992789602147341</v>
      </c>
      <c r="F690" s="12">
        <v>0.998917242337022</v>
      </c>
    </row>
    <row r="691" spans="1:6">
      <c r="A691" s="13">
        <v>724</v>
      </c>
      <c r="B691" s="12">
        <v>2015</v>
      </c>
      <c r="C691" s="12">
        <v>25</v>
      </c>
      <c r="D691" s="12">
        <v>0.91467877330626</v>
      </c>
      <c r="E691" s="12">
        <v>0.956666649639292</v>
      </c>
      <c r="F691" s="12">
        <v>0.956110233017046</v>
      </c>
    </row>
    <row r="692" spans="1:6">
      <c r="A692" s="13">
        <v>725</v>
      </c>
      <c r="B692" s="12">
        <v>2015</v>
      </c>
      <c r="C692" s="12">
        <v>26</v>
      </c>
      <c r="D692" s="12">
        <v>0.996626124921057</v>
      </c>
      <c r="E692" s="12">
        <v>1.00917849031525</v>
      </c>
      <c r="F692" s="12">
        <v>0.987561798517653</v>
      </c>
    </row>
    <row r="693" spans="1:6">
      <c r="A693" s="13">
        <v>726</v>
      </c>
      <c r="B693" s="12">
        <v>2015</v>
      </c>
      <c r="C693" s="12">
        <v>27</v>
      </c>
      <c r="D693" s="12">
        <v>0.982858260327756</v>
      </c>
      <c r="E693" s="12">
        <v>0.979837311467788</v>
      </c>
      <c r="F693" s="12">
        <v>1.00308311270107</v>
      </c>
    </row>
    <row r="694" spans="1:6">
      <c r="A694" s="13">
        <v>727</v>
      </c>
      <c r="B694" s="12">
        <v>2015</v>
      </c>
      <c r="C694" s="12">
        <v>28</v>
      </c>
      <c r="D694" s="12">
        <v>0.99702267148124</v>
      </c>
      <c r="E694" s="12">
        <v>0.996348508740676</v>
      </c>
      <c r="F694" s="12">
        <v>1.00067663346173</v>
      </c>
    </row>
    <row r="695" spans="1:6">
      <c r="A695" s="13">
        <v>728</v>
      </c>
      <c r="B695" s="12">
        <v>2015</v>
      </c>
      <c r="C695" s="12">
        <v>29</v>
      </c>
      <c r="D695" s="12">
        <v>1.00455344695772</v>
      </c>
      <c r="E695" s="12">
        <v>1.00588721128765</v>
      </c>
      <c r="F695" s="12">
        <v>0.998674041865765</v>
      </c>
    </row>
    <row r="696" spans="1:6">
      <c r="A696" s="13">
        <v>729</v>
      </c>
      <c r="B696" s="12">
        <v>2015</v>
      </c>
      <c r="C696" s="12">
        <v>30</v>
      </c>
      <c r="D696" s="12">
        <v>0.943630360423236</v>
      </c>
      <c r="E696" s="12">
        <v>0.957893119069012</v>
      </c>
      <c r="F696" s="12">
        <v>0.985110281761249</v>
      </c>
    </row>
    <row r="697" spans="1:6">
      <c r="A697" s="13">
        <v>730</v>
      </c>
      <c r="B697" s="12">
        <v>2015</v>
      </c>
      <c r="C697" s="12">
        <v>31</v>
      </c>
      <c r="D697" s="12">
        <v>0.978545637310509</v>
      </c>
      <c r="E697" s="12">
        <v>0.96035375107707</v>
      </c>
      <c r="F697" s="12">
        <v>1.01894290121014</v>
      </c>
    </row>
    <row r="698" spans="1:6">
      <c r="A698" s="13">
        <v>731</v>
      </c>
      <c r="B698" s="12">
        <v>2015</v>
      </c>
      <c r="C698" s="12">
        <v>32</v>
      </c>
      <c r="D698" s="12">
        <v>1.00028867984915</v>
      </c>
      <c r="E698" s="12">
        <v>0.999964517656637</v>
      </c>
      <c r="F698" s="12">
        <v>1.00032417369495</v>
      </c>
    </row>
    <row r="699" spans="1:6">
      <c r="A699" s="13">
        <v>732</v>
      </c>
      <c r="B699" s="12">
        <v>2015</v>
      </c>
      <c r="C699" s="12">
        <v>33</v>
      </c>
      <c r="D699" s="12">
        <v>0.947414040497095</v>
      </c>
      <c r="E699" s="12">
        <v>0.959324283612613</v>
      </c>
      <c r="F699" s="12">
        <v>0.987584758022942</v>
      </c>
    </row>
    <row r="700" spans="1:6">
      <c r="A700" s="13">
        <v>733</v>
      </c>
      <c r="B700" s="12">
        <v>2015</v>
      </c>
      <c r="C700" s="12">
        <v>34</v>
      </c>
      <c r="D700" s="12">
        <v>0.977621260413629</v>
      </c>
      <c r="E700" s="12">
        <v>1.0000814466114</v>
      </c>
      <c r="F700" s="12">
        <v>0.977541642959308</v>
      </c>
    </row>
    <row r="701" spans="1:6">
      <c r="A701" s="13">
        <v>734</v>
      </c>
      <c r="B701" s="12">
        <v>2015</v>
      </c>
      <c r="C701" s="12">
        <v>35</v>
      </c>
      <c r="D701" s="12">
        <v>0.990018566796041</v>
      </c>
      <c r="E701" s="12">
        <v>1.00008779468546</v>
      </c>
      <c r="F701" s="12">
        <v>0.989931656057671</v>
      </c>
    </row>
    <row r="702" spans="1:6">
      <c r="A702" s="13">
        <v>735</v>
      </c>
      <c r="B702" s="12">
        <v>2016</v>
      </c>
      <c r="C702" s="12">
        <v>1</v>
      </c>
      <c r="D702" s="12">
        <v>0.977057826663442</v>
      </c>
      <c r="E702" s="12">
        <v>0.960832142375558</v>
      </c>
      <c r="F702" s="12">
        <v>1.01688711646112</v>
      </c>
    </row>
    <row r="703" spans="1:6">
      <c r="A703" s="13">
        <v>736</v>
      </c>
      <c r="B703" s="12">
        <v>2016</v>
      </c>
      <c r="C703" s="12">
        <v>2</v>
      </c>
      <c r="D703" s="12">
        <v>0.994648932421623</v>
      </c>
      <c r="E703" s="12">
        <v>0.998005104959166</v>
      </c>
      <c r="F703" s="12">
        <v>0.996637118867564</v>
      </c>
    </row>
    <row r="704" spans="1:6">
      <c r="A704" s="13">
        <v>737</v>
      </c>
      <c r="B704" s="12">
        <v>2016</v>
      </c>
      <c r="C704" s="12">
        <v>3</v>
      </c>
      <c r="D704" s="12">
        <v>0.985195557277496</v>
      </c>
      <c r="E704" s="12">
        <v>1.00397444860192</v>
      </c>
      <c r="F704" s="12">
        <v>0.981295448952341</v>
      </c>
    </row>
    <row r="705" spans="1:6">
      <c r="A705" s="13">
        <v>738</v>
      </c>
      <c r="B705" s="12">
        <v>2016</v>
      </c>
      <c r="C705" s="12">
        <v>4</v>
      </c>
      <c r="D705" s="12">
        <v>1.01987675342265</v>
      </c>
      <c r="E705" s="12">
        <v>1.02921602664648</v>
      </c>
      <c r="F705" s="12">
        <v>0.990925837742481</v>
      </c>
    </row>
    <row r="706" spans="1:6">
      <c r="A706" s="13">
        <v>739</v>
      </c>
      <c r="B706" s="12">
        <v>2016</v>
      </c>
      <c r="C706" s="12">
        <v>5</v>
      </c>
      <c r="D706" s="12">
        <v>0.993973284494259</v>
      </c>
      <c r="E706" s="12">
        <v>1.00299323604013</v>
      </c>
      <c r="F706" s="12">
        <v>0.991006966725436</v>
      </c>
    </row>
    <row r="707" spans="1:6">
      <c r="A707" s="13">
        <v>740</v>
      </c>
      <c r="B707" s="12">
        <v>2016</v>
      </c>
      <c r="C707" s="12">
        <v>6</v>
      </c>
      <c r="D707" s="12">
        <v>1.00449713118631</v>
      </c>
      <c r="E707" s="12">
        <v>1.01102018209118</v>
      </c>
      <c r="F707" s="12">
        <v>0.993548050750708</v>
      </c>
    </row>
    <row r="708" spans="1:6">
      <c r="A708" s="13">
        <v>741</v>
      </c>
      <c r="B708" s="12">
        <v>2016</v>
      </c>
      <c r="C708" s="12">
        <v>7</v>
      </c>
      <c r="D708" s="12">
        <v>0.995694331648801</v>
      </c>
      <c r="E708" s="12">
        <v>0.999992572524606</v>
      </c>
      <c r="F708" s="12">
        <v>0.99570172719888</v>
      </c>
    </row>
    <row r="709" spans="1:6">
      <c r="A709" s="13">
        <v>742</v>
      </c>
      <c r="B709" s="12">
        <v>2016</v>
      </c>
      <c r="C709" s="12">
        <v>8</v>
      </c>
      <c r="D709" s="12">
        <v>0.998433454446459</v>
      </c>
      <c r="E709" s="12">
        <v>1.00177008870489</v>
      </c>
      <c r="F709" s="12">
        <v>0.996669261444266</v>
      </c>
    </row>
    <row r="710" spans="1:6">
      <c r="A710" s="13">
        <v>743</v>
      </c>
      <c r="B710" s="12">
        <v>2016</v>
      </c>
      <c r="C710" s="12">
        <v>9</v>
      </c>
      <c r="D710" s="12">
        <v>0.997721469206223</v>
      </c>
      <c r="E710" s="12">
        <v>0.997429400371348</v>
      </c>
      <c r="F710" s="12">
        <v>1.00029282156187</v>
      </c>
    </row>
    <row r="711" spans="1:6">
      <c r="A711" s="13">
        <v>744</v>
      </c>
      <c r="B711" s="12">
        <v>2016</v>
      </c>
      <c r="C711" s="12">
        <v>10</v>
      </c>
      <c r="D711" s="12">
        <v>1.00713849578788</v>
      </c>
      <c r="E711" s="12">
        <v>1.00005279586556</v>
      </c>
      <c r="F711" s="12">
        <v>1.00708532584641</v>
      </c>
    </row>
    <row r="712" spans="1:6">
      <c r="A712" s="13">
        <v>745</v>
      </c>
      <c r="B712" s="12">
        <v>2016</v>
      </c>
      <c r="C712" s="12">
        <v>11</v>
      </c>
      <c r="D712" s="12">
        <v>0.99789388349613</v>
      </c>
      <c r="E712" s="12">
        <v>1.03510416492546</v>
      </c>
      <c r="F712" s="12">
        <v>0.964051655195485</v>
      </c>
    </row>
    <row r="713" spans="1:6">
      <c r="A713" s="13">
        <v>746</v>
      </c>
      <c r="B713" s="12">
        <v>2016</v>
      </c>
      <c r="C713" s="12">
        <v>12</v>
      </c>
      <c r="D713" s="12">
        <v>0.986156919430088</v>
      </c>
      <c r="E713" s="12">
        <v>1.00006649736569</v>
      </c>
      <c r="F713" s="12">
        <v>0.986091346953181</v>
      </c>
    </row>
    <row r="714" spans="1:6">
      <c r="A714" s="13">
        <v>747</v>
      </c>
      <c r="B714" s="12">
        <v>2016</v>
      </c>
      <c r="C714" s="12">
        <v>13</v>
      </c>
      <c r="D714" s="12">
        <v>0.99881437457367</v>
      </c>
      <c r="E714" s="12">
        <v>1.0043528731708</v>
      </c>
      <c r="F714" s="12">
        <v>0.994485505298902</v>
      </c>
    </row>
    <row r="715" spans="1:6">
      <c r="A715" s="13">
        <v>748</v>
      </c>
      <c r="B715" s="12">
        <v>2016</v>
      </c>
      <c r="C715" s="12">
        <v>14</v>
      </c>
      <c r="D715" s="12">
        <v>0.998273987854216</v>
      </c>
      <c r="E715" s="12">
        <v>0.999959230799613</v>
      </c>
      <c r="F715" s="12">
        <v>0.998314688345795</v>
      </c>
    </row>
    <row r="716" spans="1:6">
      <c r="A716" s="13">
        <v>749</v>
      </c>
      <c r="B716" s="12">
        <v>2016</v>
      </c>
      <c r="C716" s="12">
        <v>15</v>
      </c>
      <c r="D716" s="12">
        <v>0.996384431280116</v>
      </c>
      <c r="E716" s="12">
        <v>0.999087057577794</v>
      </c>
      <c r="F716" s="12">
        <v>0.997294904105524</v>
      </c>
    </row>
    <row r="717" spans="1:6">
      <c r="A717" s="13">
        <v>750</v>
      </c>
      <c r="B717" s="12">
        <v>2016</v>
      </c>
      <c r="C717" s="12">
        <v>16</v>
      </c>
      <c r="D717" s="12">
        <v>1.00420051817815</v>
      </c>
      <c r="E717" s="12">
        <v>1.00845375145644</v>
      </c>
      <c r="F717" s="12">
        <v>0.995782421085603</v>
      </c>
    </row>
    <row r="718" spans="1:6">
      <c r="A718" s="13">
        <v>751</v>
      </c>
      <c r="B718" s="12">
        <v>2016</v>
      </c>
      <c r="C718" s="12">
        <v>17</v>
      </c>
      <c r="D718" s="12">
        <v>0.987587153946606</v>
      </c>
      <c r="E718" s="12">
        <v>0.999968929616421</v>
      </c>
      <c r="F718" s="12">
        <v>0.987617839611713</v>
      </c>
    </row>
    <row r="719" spans="1:6">
      <c r="A719" s="13">
        <v>752</v>
      </c>
      <c r="B719" s="12">
        <v>2016</v>
      </c>
      <c r="C719" s="12">
        <v>18</v>
      </c>
      <c r="D719" s="12">
        <v>1.05312026989014</v>
      </c>
      <c r="E719" s="12">
        <v>1.13450763001527</v>
      </c>
      <c r="F719" s="12">
        <v>0.928261954373962</v>
      </c>
    </row>
    <row r="720" spans="1:6">
      <c r="A720" s="13">
        <v>753</v>
      </c>
      <c r="B720" s="12">
        <v>2016</v>
      </c>
      <c r="C720" s="12">
        <v>19</v>
      </c>
      <c r="D720" s="12">
        <v>0.991400225353317</v>
      </c>
      <c r="E720" s="12">
        <v>1.03356355708702</v>
      </c>
      <c r="F720" s="12">
        <v>0.959205864559953</v>
      </c>
    </row>
    <row r="721" spans="1:6">
      <c r="A721" s="13">
        <v>754</v>
      </c>
      <c r="B721" s="12">
        <v>2016</v>
      </c>
      <c r="C721" s="12">
        <v>20</v>
      </c>
      <c r="D721" s="12">
        <v>1.00039192309859</v>
      </c>
      <c r="E721" s="12">
        <v>1.00004873942177</v>
      </c>
      <c r="F721" s="12">
        <v>1.00034316695106</v>
      </c>
    </row>
    <row r="722" spans="1:6">
      <c r="A722" s="13">
        <v>755</v>
      </c>
      <c r="B722" s="12">
        <v>2016</v>
      </c>
      <c r="C722" s="12">
        <v>21</v>
      </c>
      <c r="D722" s="12">
        <v>1.0026529318788</v>
      </c>
      <c r="E722" s="12">
        <v>1.00021959959479</v>
      </c>
      <c r="F722" s="12">
        <v>1.00243279804255</v>
      </c>
    </row>
    <row r="723" spans="1:6">
      <c r="A723" s="13">
        <v>756</v>
      </c>
      <c r="B723" s="12">
        <v>2016</v>
      </c>
      <c r="C723" s="12">
        <v>22</v>
      </c>
      <c r="D723" s="12">
        <v>0.976425319652142</v>
      </c>
      <c r="E723" s="12">
        <v>0.98858516297746</v>
      </c>
      <c r="F723" s="12">
        <v>0.987699751340901</v>
      </c>
    </row>
    <row r="724" spans="1:6">
      <c r="A724" s="13">
        <v>757</v>
      </c>
      <c r="B724" s="12">
        <v>2016</v>
      </c>
      <c r="C724" s="12">
        <v>23</v>
      </c>
      <c r="D724" s="12">
        <v>1.04473110785249</v>
      </c>
      <c r="E724" s="12">
        <v>1.07720964867319</v>
      </c>
      <c r="F724" s="12">
        <v>0.969849378103225</v>
      </c>
    </row>
    <row r="725" spans="1:6">
      <c r="A725" s="13">
        <v>758</v>
      </c>
      <c r="B725" s="12">
        <v>2016</v>
      </c>
      <c r="C725" s="12">
        <v>24</v>
      </c>
      <c r="D725" s="12">
        <v>1.00017516812855</v>
      </c>
      <c r="E725" s="12">
        <v>1.00573103607143</v>
      </c>
      <c r="F725" s="12">
        <v>0.994475791495327</v>
      </c>
    </row>
    <row r="726" spans="1:6">
      <c r="A726" s="13">
        <v>759</v>
      </c>
      <c r="B726" s="12">
        <v>2016</v>
      </c>
      <c r="C726" s="12">
        <v>25</v>
      </c>
      <c r="D726" s="12">
        <v>0.993549022101011</v>
      </c>
      <c r="E726" s="12">
        <v>0.988691698697185</v>
      </c>
      <c r="F726" s="12">
        <v>1.00491287972806</v>
      </c>
    </row>
    <row r="727" spans="1:6">
      <c r="A727" s="13">
        <v>760</v>
      </c>
      <c r="B727" s="12">
        <v>2016</v>
      </c>
      <c r="C727" s="12">
        <v>26</v>
      </c>
      <c r="D727" s="12">
        <v>1.00823330983793</v>
      </c>
      <c r="E727" s="12">
        <v>1.01691018267764</v>
      </c>
      <c r="F727" s="12">
        <v>0.991467414735817</v>
      </c>
    </row>
    <row r="728" spans="1:6">
      <c r="A728" s="13">
        <v>761</v>
      </c>
      <c r="B728" s="12">
        <v>2016</v>
      </c>
      <c r="C728" s="12">
        <v>27</v>
      </c>
      <c r="D728" s="12">
        <v>0.993869470589252</v>
      </c>
      <c r="E728" s="12">
        <v>1.00441505493703</v>
      </c>
      <c r="F728" s="12">
        <v>0.989500770328015</v>
      </c>
    </row>
    <row r="729" spans="1:6">
      <c r="A729" s="13">
        <v>762</v>
      </c>
      <c r="B729" s="12">
        <v>2016</v>
      </c>
      <c r="C729" s="12">
        <v>28</v>
      </c>
      <c r="D729" s="12">
        <v>0.999683900550315</v>
      </c>
      <c r="E729" s="12">
        <v>1.0015356359771</v>
      </c>
      <c r="F729" s="12">
        <v>0.998151103804731</v>
      </c>
    </row>
    <row r="730" spans="1:6">
      <c r="A730" s="13">
        <v>763</v>
      </c>
      <c r="B730" s="12">
        <v>2016</v>
      </c>
      <c r="C730" s="12">
        <v>29</v>
      </c>
      <c r="D730" s="12">
        <v>0.998842482730022</v>
      </c>
      <c r="E730" s="12">
        <v>0.997574727989347</v>
      </c>
      <c r="F730" s="12">
        <v>1.00127083686576</v>
      </c>
    </row>
    <row r="731" spans="1:6">
      <c r="A731" s="13">
        <v>764</v>
      </c>
      <c r="B731" s="12">
        <v>2016</v>
      </c>
      <c r="C731" s="12">
        <v>30</v>
      </c>
      <c r="D731" s="12">
        <v>1.01178976784072</v>
      </c>
      <c r="E731" s="12">
        <v>1.03560443228058</v>
      </c>
      <c r="F731" s="12">
        <v>0.977004091815816</v>
      </c>
    </row>
    <row r="732" spans="1:6">
      <c r="A732" s="13">
        <v>765</v>
      </c>
      <c r="B732" s="12">
        <v>2016</v>
      </c>
      <c r="C732" s="12">
        <v>31</v>
      </c>
      <c r="D732" s="12">
        <v>0.978030613232295</v>
      </c>
      <c r="E732" s="12">
        <v>1.00698338910072</v>
      </c>
      <c r="F732" s="12">
        <v>0.971248010461942</v>
      </c>
    </row>
    <row r="733" spans="1:6">
      <c r="A733" s="13">
        <v>766</v>
      </c>
      <c r="B733" s="12">
        <v>2016</v>
      </c>
      <c r="C733" s="12">
        <v>32</v>
      </c>
      <c r="D733" s="12">
        <v>1.00800103970773</v>
      </c>
      <c r="E733" s="12">
        <v>1.0002071553515</v>
      </c>
      <c r="F733" s="12">
        <v>1.00779227014577</v>
      </c>
    </row>
    <row r="734" spans="1:6">
      <c r="A734" s="13">
        <v>767</v>
      </c>
      <c r="B734" s="12">
        <v>2016</v>
      </c>
      <c r="C734" s="12">
        <v>33</v>
      </c>
      <c r="D734" s="12">
        <v>0.979623302596559</v>
      </c>
      <c r="E734" s="12">
        <v>1.00074842115004</v>
      </c>
      <c r="F734" s="12">
        <v>0.978890680107994</v>
      </c>
    </row>
    <row r="735" spans="1:6">
      <c r="A735" s="13">
        <v>768</v>
      </c>
      <c r="B735" s="12">
        <v>2016</v>
      </c>
      <c r="C735" s="12">
        <v>34</v>
      </c>
      <c r="D735" s="12">
        <v>0.968017998582167</v>
      </c>
      <c r="E735" s="12">
        <v>1.00003012251931</v>
      </c>
      <c r="F735" s="12">
        <v>0.967988840319636</v>
      </c>
    </row>
    <row r="736" spans="1:6">
      <c r="A736" s="13">
        <v>769</v>
      </c>
      <c r="B736" s="12">
        <v>2016</v>
      </c>
      <c r="C736" s="12">
        <v>35</v>
      </c>
      <c r="D736" s="12">
        <v>1.02311929623861</v>
      </c>
      <c r="E736" s="12">
        <v>1.00003433486119</v>
      </c>
      <c r="F736" s="12">
        <v>1.02308416878569</v>
      </c>
    </row>
    <row r="737" spans="1:6">
      <c r="A737" s="13">
        <v>770</v>
      </c>
      <c r="B737" s="12">
        <v>2017</v>
      </c>
      <c r="C737" s="12">
        <v>1</v>
      </c>
      <c r="D737" s="12">
        <v>1.04672603271679</v>
      </c>
      <c r="E737" s="12">
        <v>1.05010739495057</v>
      </c>
      <c r="F737" s="12">
        <v>0.996779984361564</v>
      </c>
    </row>
    <row r="738" spans="1:6">
      <c r="A738" s="13">
        <v>771</v>
      </c>
      <c r="B738" s="12">
        <v>2017</v>
      </c>
      <c r="C738" s="12">
        <v>2</v>
      </c>
      <c r="D738" s="12">
        <v>0.99457995891668</v>
      </c>
      <c r="E738" s="12">
        <v>0.99713179983761</v>
      </c>
      <c r="F738" s="12">
        <v>0.997440818835238</v>
      </c>
    </row>
    <row r="739" spans="1:6">
      <c r="A739" s="13">
        <v>772</v>
      </c>
      <c r="B739" s="12">
        <v>2017</v>
      </c>
      <c r="C739" s="12">
        <v>3</v>
      </c>
      <c r="D739" s="12">
        <v>1.00116084099752</v>
      </c>
      <c r="E739" s="12">
        <v>1.00388850904901</v>
      </c>
      <c r="F739" s="12">
        <v>0.997282897426447</v>
      </c>
    </row>
    <row r="740" spans="1:6">
      <c r="A740" s="13">
        <v>773</v>
      </c>
      <c r="B740" s="12">
        <v>2017</v>
      </c>
      <c r="C740" s="12">
        <v>4</v>
      </c>
      <c r="D740" s="12">
        <v>0.998574441874239</v>
      </c>
      <c r="E740" s="12">
        <v>1.0045957118669</v>
      </c>
      <c r="F740" s="12">
        <v>0.994006275438437</v>
      </c>
    </row>
    <row r="741" spans="1:6">
      <c r="A741" s="13">
        <v>774</v>
      </c>
      <c r="B741" s="12">
        <v>2017</v>
      </c>
      <c r="C741" s="12">
        <v>5</v>
      </c>
      <c r="D741" s="12">
        <v>0.999203164017693</v>
      </c>
      <c r="E741" s="12">
        <v>1.00838446367413</v>
      </c>
      <c r="F741" s="12">
        <v>0.990895040545369</v>
      </c>
    </row>
    <row r="742" spans="1:6">
      <c r="A742" s="13">
        <v>775</v>
      </c>
      <c r="B742" s="12">
        <v>2017</v>
      </c>
      <c r="C742" s="12">
        <v>6</v>
      </c>
      <c r="D742" s="12">
        <v>0.995946414661268</v>
      </c>
      <c r="E742" s="12">
        <v>1.00115143375425</v>
      </c>
      <c r="F742" s="12">
        <v>0.994800967248815</v>
      </c>
    </row>
    <row r="743" spans="1:6">
      <c r="A743" s="13">
        <v>776</v>
      </c>
      <c r="B743" s="12">
        <v>2017</v>
      </c>
      <c r="C743" s="12">
        <v>7</v>
      </c>
      <c r="D743" s="12">
        <v>1.00204984696774</v>
      </c>
      <c r="E743" s="12">
        <v>1.00003489885535</v>
      </c>
      <c r="F743" s="12">
        <v>1.00201487779545</v>
      </c>
    </row>
    <row r="744" spans="1:6">
      <c r="A744" s="13">
        <v>777</v>
      </c>
      <c r="B744" s="12">
        <v>2017</v>
      </c>
      <c r="C744" s="12">
        <v>8</v>
      </c>
      <c r="D744" s="12">
        <v>0.994748852169937</v>
      </c>
      <c r="E744" s="12">
        <v>1.00123455162298</v>
      </c>
      <c r="F744" s="12">
        <v>0.993522297604965</v>
      </c>
    </row>
    <row r="745" spans="1:6">
      <c r="A745" s="13">
        <v>778</v>
      </c>
      <c r="B745" s="12">
        <v>2017</v>
      </c>
      <c r="C745" s="12">
        <v>9</v>
      </c>
      <c r="D745" s="12">
        <v>0.998659435920381</v>
      </c>
      <c r="E745" s="12">
        <v>0.997591293228557</v>
      </c>
      <c r="F745" s="12">
        <v>1.00107072174655</v>
      </c>
    </row>
    <row r="746" spans="1:6">
      <c r="A746" s="13">
        <v>779</v>
      </c>
      <c r="B746" s="12">
        <v>2017</v>
      </c>
      <c r="C746" s="12">
        <v>10</v>
      </c>
      <c r="D746" s="12">
        <v>0.9995082678992</v>
      </c>
      <c r="E746" s="12">
        <v>1.00006155911622</v>
      </c>
      <c r="F746" s="12">
        <v>0.999446742841006</v>
      </c>
    </row>
    <row r="747" spans="1:6">
      <c r="A747" s="13">
        <v>780</v>
      </c>
      <c r="B747" s="12">
        <v>2017</v>
      </c>
      <c r="C747" s="12">
        <v>11</v>
      </c>
      <c r="D747" s="12">
        <v>0.995187019502814</v>
      </c>
      <c r="E747" s="12">
        <v>1.01671535701961</v>
      </c>
      <c r="F747" s="12">
        <v>0.978825600136594</v>
      </c>
    </row>
    <row r="748" spans="1:6">
      <c r="A748" s="13">
        <v>781</v>
      </c>
      <c r="B748" s="12">
        <v>2017</v>
      </c>
      <c r="C748" s="12">
        <v>12</v>
      </c>
      <c r="D748" s="12">
        <v>1.02342903792676</v>
      </c>
      <c r="E748" s="12">
        <v>1.00010869462487</v>
      </c>
      <c r="F748" s="12">
        <v>1.02331780878141</v>
      </c>
    </row>
    <row r="749" spans="1:6">
      <c r="A749" s="13">
        <v>782</v>
      </c>
      <c r="B749" s="12">
        <v>2017</v>
      </c>
      <c r="C749" s="12">
        <v>13</v>
      </c>
      <c r="D749" s="12">
        <v>0.996187845688507</v>
      </c>
      <c r="E749" s="12">
        <v>0.998643034678461</v>
      </c>
      <c r="F749" s="12">
        <v>0.997541474876711</v>
      </c>
    </row>
    <row r="750" spans="1:6">
      <c r="A750" s="13">
        <v>783</v>
      </c>
      <c r="B750" s="12">
        <v>2017</v>
      </c>
      <c r="C750" s="12">
        <v>14</v>
      </c>
      <c r="D750" s="12">
        <v>1.00191504471554</v>
      </c>
      <c r="E750" s="12">
        <v>0.99980304128491</v>
      </c>
      <c r="F750" s="12">
        <v>1.00211241949006</v>
      </c>
    </row>
    <row r="751" spans="1:6">
      <c r="A751" s="13">
        <v>784</v>
      </c>
      <c r="B751" s="12">
        <v>2017</v>
      </c>
      <c r="C751" s="12">
        <v>15</v>
      </c>
      <c r="D751" s="12">
        <v>1.005450895127</v>
      </c>
      <c r="E751" s="12">
        <v>1.00170368140341</v>
      </c>
      <c r="F751" s="12">
        <v>1.00374084052316</v>
      </c>
    </row>
    <row r="752" spans="1:6">
      <c r="A752" s="13">
        <v>785</v>
      </c>
      <c r="B752" s="12">
        <v>2017</v>
      </c>
      <c r="C752" s="12">
        <v>16</v>
      </c>
      <c r="D752" s="12">
        <v>1.00130766572295</v>
      </c>
      <c r="E752" s="12">
        <v>1.00670544193812</v>
      </c>
      <c r="F752" s="12">
        <v>0.994638177176459</v>
      </c>
    </row>
    <row r="753" spans="1:6">
      <c r="A753" s="13">
        <v>786</v>
      </c>
      <c r="B753" s="12">
        <v>2017</v>
      </c>
      <c r="C753" s="12">
        <v>17</v>
      </c>
      <c r="D753" s="12">
        <v>0.993514059936895</v>
      </c>
      <c r="E753" s="12">
        <v>1.0000059954028</v>
      </c>
      <c r="F753" s="12">
        <v>0.993508103455627</v>
      </c>
    </row>
    <row r="754" spans="1:6">
      <c r="A754" s="13">
        <v>787</v>
      </c>
      <c r="B754" s="12">
        <v>2017</v>
      </c>
      <c r="C754" s="12">
        <v>18</v>
      </c>
      <c r="D754" s="12">
        <v>0.981663766384819</v>
      </c>
      <c r="E754" s="12">
        <v>0.979794040833949</v>
      </c>
      <c r="F754" s="12">
        <v>1.0019082842648</v>
      </c>
    </row>
    <row r="755" spans="1:6">
      <c r="A755" s="13">
        <v>788</v>
      </c>
      <c r="B755" s="12">
        <v>2017</v>
      </c>
      <c r="C755" s="12">
        <v>19</v>
      </c>
      <c r="D755" s="12">
        <v>0.991172706119378</v>
      </c>
      <c r="E755" s="12">
        <v>1.00570556171291</v>
      </c>
      <c r="F755" s="12">
        <v>0.98554959210051</v>
      </c>
    </row>
    <row r="756" spans="1:6">
      <c r="A756" s="13">
        <v>789</v>
      </c>
      <c r="B756" s="12">
        <v>2017</v>
      </c>
      <c r="C756" s="12">
        <v>20</v>
      </c>
      <c r="D756" s="12">
        <v>0.996424895448717</v>
      </c>
      <c r="E756" s="12">
        <v>0.99998034739359</v>
      </c>
      <c r="F756" s="12">
        <v>0.996444478179855</v>
      </c>
    </row>
    <row r="757" spans="1:6">
      <c r="A757" s="13">
        <v>790</v>
      </c>
      <c r="B757" s="12">
        <v>2017</v>
      </c>
      <c r="C757" s="12">
        <v>21</v>
      </c>
      <c r="D757" s="12">
        <v>0.997425199464693</v>
      </c>
      <c r="E757" s="12">
        <v>0.999896925007715</v>
      </c>
      <c r="F757" s="12">
        <v>0.997528019657623</v>
      </c>
    </row>
    <row r="758" spans="1:6">
      <c r="A758" s="13">
        <v>791</v>
      </c>
      <c r="B758" s="12">
        <v>2017</v>
      </c>
      <c r="C758" s="12">
        <v>22</v>
      </c>
      <c r="D758" s="12">
        <v>1.0134509405769</v>
      </c>
      <c r="E758" s="12">
        <v>1.03129673736874</v>
      </c>
      <c r="F758" s="12">
        <v>0.982695769175637</v>
      </c>
    </row>
    <row r="759" spans="1:6">
      <c r="A759" s="13">
        <v>792</v>
      </c>
      <c r="B759" s="12">
        <v>2017</v>
      </c>
      <c r="C759" s="12">
        <v>23</v>
      </c>
      <c r="D759" s="12">
        <v>1.00837582909856</v>
      </c>
      <c r="E759" s="12">
        <v>1.01505447301888</v>
      </c>
      <c r="F759" s="12">
        <v>0.993420408364434</v>
      </c>
    </row>
    <row r="760" spans="1:6">
      <c r="A760" s="13">
        <v>793</v>
      </c>
      <c r="B760" s="12">
        <v>2017</v>
      </c>
      <c r="C760" s="12">
        <v>24</v>
      </c>
      <c r="D760" s="12">
        <v>1.00238907700156</v>
      </c>
      <c r="E760" s="12">
        <v>1.00562880973157</v>
      </c>
      <c r="F760" s="12">
        <v>0.996778401037576</v>
      </c>
    </row>
    <row r="761" spans="1:6">
      <c r="A761" s="13">
        <v>794</v>
      </c>
      <c r="B761" s="12">
        <v>2017</v>
      </c>
      <c r="C761" s="12">
        <v>25</v>
      </c>
      <c r="D761" s="12">
        <v>1.01450366236342</v>
      </c>
      <c r="E761" s="12">
        <v>1.03294357019671</v>
      </c>
      <c r="F761" s="12">
        <v>0.982148194378343</v>
      </c>
    </row>
    <row r="762" spans="1:6">
      <c r="A762" s="13">
        <v>795</v>
      </c>
      <c r="B762" s="12">
        <v>2017</v>
      </c>
      <c r="C762" s="12">
        <v>26</v>
      </c>
      <c r="D762" s="12">
        <v>1.00226904840036</v>
      </c>
      <c r="E762" s="12">
        <v>1.00976966163988</v>
      </c>
      <c r="F762" s="12">
        <v>0.992571956234719</v>
      </c>
    </row>
    <row r="763" spans="1:6">
      <c r="A763" s="13">
        <v>796</v>
      </c>
      <c r="B763" s="12">
        <v>2017</v>
      </c>
      <c r="C763" s="12">
        <v>27</v>
      </c>
      <c r="D763" s="12">
        <v>0.990441528395151</v>
      </c>
      <c r="E763" s="12">
        <v>0.992709338257388</v>
      </c>
      <c r="F763" s="12">
        <v>0.997715534875275</v>
      </c>
    </row>
    <row r="764" spans="1:6">
      <c r="A764" s="13">
        <v>797</v>
      </c>
      <c r="B764" s="12">
        <v>2017</v>
      </c>
      <c r="C764" s="12">
        <v>28</v>
      </c>
      <c r="D764" s="12">
        <v>0.996617478034131</v>
      </c>
      <c r="E764" s="12">
        <v>1.0010997079573</v>
      </c>
      <c r="F764" s="12">
        <v>0.995522693806078</v>
      </c>
    </row>
    <row r="765" spans="1:6">
      <c r="A765" s="13">
        <v>798</v>
      </c>
      <c r="B765" s="12">
        <v>2017</v>
      </c>
      <c r="C765" s="12">
        <v>29</v>
      </c>
      <c r="D765" s="12">
        <v>0.997096069995721</v>
      </c>
      <c r="E765" s="12">
        <v>0.999797355427717</v>
      </c>
      <c r="F765" s="12">
        <v>0.997298167056222</v>
      </c>
    </row>
    <row r="766" spans="1:6">
      <c r="A766" s="13">
        <v>799</v>
      </c>
      <c r="B766" s="12">
        <v>2017</v>
      </c>
      <c r="C766" s="12">
        <v>30</v>
      </c>
      <c r="D766" s="12">
        <v>0.990046252295554</v>
      </c>
      <c r="E766" s="12">
        <v>0.997232105822909</v>
      </c>
      <c r="F766" s="12">
        <v>0.992794201585171</v>
      </c>
    </row>
    <row r="767" spans="1:6">
      <c r="A767" s="13">
        <v>800</v>
      </c>
      <c r="B767" s="12">
        <v>2017</v>
      </c>
      <c r="C767" s="12">
        <v>31</v>
      </c>
      <c r="D767" s="12">
        <v>0.995015533971323</v>
      </c>
      <c r="E767" s="12">
        <v>0.997066303421836</v>
      </c>
      <c r="F767" s="12">
        <v>0.997943196512133</v>
      </c>
    </row>
    <row r="768" spans="1:6">
      <c r="A768" s="13">
        <v>801</v>
      </c>
      <c r="B768" s="12">
        <v>2017</v>
      </c>
      <c r="C768" s="12">
        <v>32</v>
      </c>
      <c r="D768" s="12">
        <v>1.00100021474486</v>
      </c>
      <c r="E768" s="12">
        <v>0.999875591496953</v>
      </c>
      <c r="F768" s="12">
        <v>1.00112476317801</v>
      </c>
    </row>
    <row r="769" spans="1:6">
      <c r="A769" s="13">
        <v>802</v>
      </c>
      <c r="B769" s="12">
        <v>2017</v>
      </c>
      <c r="C769" s="12">
        <v>33</v>
      </c>
      <c r="D769" s="12">
        <v>0.97040830311952</v>
      </c>
      <c r="E769" s="12">
        <v>0.964574259372533</v>
      </c>
      <c r="F769" s="12">
        <v>1.0060483095939</v>
      </c>
    </row>
    <row r="770" spans="1:6">
      <c r="A770" s="13">
        <v>803</v>
      </c>
      <c r="B770" s="12">
        <v>2017</v>
      </c>
      <c r="C770" s="12">
        <v>34</v>
      </c>
      <c r="D770" s="12">
        <v>0.97896474867528</v>
      </c>
      <c r="E770" s="12">
        <v>0.999673324924123</v>
      </c>
      <c r="F770" s="12">
        <v>0.979284656564768</v>
      </c>
    </row>
    <row r="771" spans="1:6">
      <c r="A771" s="13">
        <v>804</v>
      </c>
      <c r="B771" s="12">
        <v>2017</v>
      </c>
      <c r="C771" s="12">
        <v>35</v>
      </c>
      <c r="D771" s="12">
        <v>0.998256725022493</v>
      </c>
      <c r="E771" s="12">
        <v>0.999768259148586</v>
      </c>
      <c r="F771" s="12">
        <v>0.998488115508508</v>
      </c>
    </row>
    <row r="772" spans="1:6">
      <c r="A772" s="13">
        <v>805</v>
      </c>
      <c r="B772" s="12">
        <v>2018</v>
      </c>
      <c r="C772" s="12">
        <v>1</v>
      </c>
      <c r="D772" s="12">
        <v>1.00416101461285</v>
      </c>
      <c r="E772" s="12">
        <v>0.992088280716094</v>
      </c>
      <c r="F772" s="12">
        <v>1.0121690117013</v>
      </c>
    </row>
    <row r="773" spans="1:6">
      <c r="A773" s="13">
        <v>806</v>
      </c>
      <c r="B773" s="12">
        <v>2018</v>
      </c>
      <c r="C773" s="12">
        <v>2</v>
      </c>
      <c r="D773" s="12">
        <v>0.999233812710848</v>
      </c>
      <c r="E773" s="12">
        <v>0.990874020571621</v>
      </c>
      <c r="F773" s="12">
        <v>1.00843678607539</v>
      </c>
    </row>
    <row r="774" spans="1:6">
      <c r="A774" s="13">
        <v>807</v>
      </c>
      <c r="B774" s="12">
        <v>2018</v>
      </c>
      <c r="C774" s="12">
        <v>3</v>
      </c>
      <c r="D774" s="12">
        <v>0.992251695935669</v>
      </c>
      <c r="E774" s="12">
        <v>0.989825450516791</v>
      </c>
      <c r="F774" s="12">
        <v>1.00245118512321</v>
      </c>
    </row>
    <row r="775" spans="1:6">
      <c r="A775" s="13">
        <v>808</v>
      </c>
      <c r="B775" s="12">
        <v>2018</v>
      </c>
      <c r="C775" s="12">
        <v>4</v>
      </c>
      <c r="D775" s="12">
        <v>1.01530900553752</v>
      </c>
      <c r="E775" s="12">
        <v>1.00045736228697</v>
      </c>
      <c r="F775" s="12">
        <v>1.01484485377427</v>
      </c>
    </row>
    <row r="776" spans="1:6">
      <c r="A776" s="13">
        <v>809</v>
      </c>
      <c r="B776" s="12">
        <v>2018</v>
      </c>
      <c r="C776" s="12">
        <v>5</v>
      </c>
      <c r="D776" s="12">
        <v>0.996358705848814</v>
      </c>
      <c r="E776" s="12">
        <v>0.985917777454428</v>
      </c>
      <c r="F776" s="12">
        <v>1.01059005997574</v>
      </c>
    </row>
    <row r="777" spans="1:6">
      <c r="A777" s="13">
        <v>810</v>
      </c>
      <c r="B777" s="12">
        <v>2018</v>
      </c>
      <c r="C777" s="12">
        <v>6</v>
      </c>
      <c r="D777" s="12">
        <v>1.00263521536234</v>
      </c>
      <c r="E777" s="12">
        <v>0.997174566025512</v>
      </c>
      <c r="F777" s="12">
        <v>1.00547612175729</v>
      </c>
    </row>
    <row r="778" spans="1:6">
      <c r="A778" s="13">
        <v>811</v>
      </c>
      <c r="B778" s="12">
        <v>2018</v>
      </c>
      <c r="C778" s="12">
        <v>7</v>
      </c>
      <c r="D778" s="12">
        <v>1.00333330589128</v>
      </c>
      <c r="E778" s="12">
        <v>0.999964547754565</v>
      </c>
      <c r="F778" s="12">
        <v>1.00336887757099</v>
      </c>
    </row>
    <row r="779" spans="1:6">
      <c r="A779" s="13">
        <v>812</v>
      </c>
      <c r="B779" s="12">
        <v>2018</v>
      </c>
      <c r="C779" s="12">
        <v>8</v>
      </c>
      <c r="D779" s="12">
        <v>0.998672920751065</v>
      </c>
      <c r="E779" s="12">
        <v>0.994972883655935</v>
      </c>
      <c r="F779" s="12">
        <v>1.00371873159149</v>
      </c>
    </row>
    <row r="780" spans="1:6">
      <c r="A780" s="13">
        <v>813</v>
      </c>
      <c r="B780" s="12">
        <v>2018</v>
      </c>
      <c r="C780" s="12">
        <v>9</v>
      </c>
      <c r="D780" s="12">
        <v>0.992324542414942</v>
      </c>
      <c r="E780" s="12">
        <v>0.986948432273487</v>
      </c>
      <c r="F780" s="12">
        <v>1.00544720470255</v>
      </c>
    </row>
    <row r="781" spans="1:6">
      <c r="A781" s="13">
        <v>814</v>
      </c>
      <c r="B781" s="12">
        <v>2018</v>
      </c>
      <c r="C781" s="12">
        <v>10</v>
      </c>
      <c r="D781" s="12">
        <v>1.01347593908037</v>
      </c>
      <c r="E781" s="12">
        <v>1.0000186991598</v>
      </c>
      <c r="F781" s="12">
        <v>1.01345698828619</v>
      </c>
    </row>
    <row r="782" spans="1:6">
      <c r="A782" s="13">
        <v>815</v>
      </c>
      <c r="B782" s="12">
        <v>2018</v>
      </c>
      <c r="C782" s="12">
        <v>11</v>
      </c>
      <c r="D782" s="12">
        <v>0.995931119900819</v>
      </c>
      <c r="E782" s="12">
        <v>1.0000149326901</v>
      </c>
      <c r="F782" s="12">
        <v>0.995916248192116</v>
      </c>
    </row>
    <row r="783" spans="1:6">
      <c r="A783" s="13">
        <v>816</v>
      </c>
      <c r="B783" s="12">
        <v>2018</v>
      </c>
      <c r="C783" s="12">
        <v>12</v>
      </c>
      <c r="D783" s="12">
        <v>0.974669070127806</v>
      </c>
      <c r="E783" s="12">
        <v>0.99990629778134</v>
      </c>
      <c r="F783" s="12">
        <v>0.974760407340636</v>
      </c>
    </row>
    <row r="784" spans="1:6">
      <c r="A784" s="13">
        <v>817</v>
      </c>
      <c r="B784" s="12">
        <v>2018</v>
      </c>
      <c r="C784" s="12">
        <v>13</v>
      </c>
      <c r="D784" s="12">
        <v>1.00120245612978</v>
      </c>
      <c r="E784" s="12">
        <v>0.992107407571189</v>
      </c>
      <c r="F784" s="12">
        <v>1.00916740313516</v>
      </c>
    </row>
    <row r="785" spans="1:6">
      <c r="A785" s="13">
        <v>818</v>
      </c>
      <c r="B785" s="12">
        <v>2018</v>
      </c>
      <c r="C785" s="12">
        <v>14</v>
      </c>
      <c r="D785" s="12">
        <v>1.00245690483636</v>
      </c>
      <c r="E785" s="12">
        <v>1.00006945317026</v>
      </c>
      <c r="F785" s="12">
        <v>1.00238728586153</v>
      </c>
    </row>
    <row r="786" spans="1:6">
      <c r="A786" s="13">
        <v>819</v>
      </c>
      <c r="B786" s="12">
        <v>2018</v>
      </c>
      <c r="C786" s="12">
        <v>15</v>
      </c>
      <c r="D786" s="12">
        <v>1.00290791645559</v>
      </c>
      <c r="E786" s="12">
        <v>1.00005263299064</v>
      </c>
      <c r="F786" s="12">
        <v>1.00285513319075</v>
      </c>
    </row>
    <row r="787" spans="1:6">
      <c r="A787" s="13">
        <v>820</v>
      </c>
      <c r="B787" s="12">
        <v>2018</v>
      </c>
      <c r="C787" s="12">
        <v>16</v>
      </c>
      <c r="D787" s="12">
        <v>0.998742798001482</v>
      </c>
      <c r="E787" s="12">
        <v>0.989097555423977</v>
      </c>
      <c r="F787" s="12">
        <v>1.00975155840252</v>
      </c>
    </row>
    <row r="788" spans="1:6">
      <c r="A788" s="13">
        <v>821</v>
      </c>
      <c r="B788" s="12">
        <v>2018</v>
      </c>
      <c r="C788" s="12">
        <v>17</v>
      </c>
      <c r="D788" s="12">
        <v>0.997314250134982</v>
      </c>
      <c r="E788" s="12">
        <v>0.971756300018039</v>
      </c>
      <c r="F788" s="12">
        <v>1.02630078149889</v>
      </c>
    </row>
    <row r="789" spans="1:6">
      <c r="A789" s="13">
        <v>822</v>
      </c>
      <c r="B789" s="12">
        <v>2018</v>
      </c>
      <c r="C789" s="12">
        <v>18</v>
      </c>
      <c r="D789" s="12">
        <v>0.997292717460697</v>
      </c>
      <c r="E789" s="12">
        <v>0.971015406629238</v>
      </c>
      <c r="F789" s="12">
        <v>1.02706168270046</v>
      </c>
    </row>
    <row r="790" spans="1:6">
      <c r="A790" s="13">
        <v>823</v>
      </c>
      <c r="B790" s="12">
        <v>2018</v>
      </c>
      <c r="C790" s="12">
        <v>19</v>
      </c>
      <c r="D790" s="12">
        <v>1.03034081437554</v>
      </c>
      <c r="E790" s="12">
        <v>1.00340825345041</v>
      </c>
      <c r="F790" s="12">
        <v>1.02684107972255</v>
      </c>
    </row>
    <row r="791" spans="1:6">
      <c r="A791" s="13">
        <v>824</v>
      </c>
      <c r="B791" s="12">
        <v>2018</v>
      </c>
      <c r="C791" s="12">
        <v>20</v>
      </c>
      <c r="D791" s="12">
        <v>1.00166436490132</v>
      </c>
      <c r="E791" s="12">
        <v>1.00000706118073</v>
      </c>
      <c r="F791" s="12">
        <v>1.00165729201815</v>
      </c>
    </row>
    <row r="792" spans="1:6">
      <c r="A792" s="13">
        <v>825</v>
      </c>
      <c r="B792" s="12">
        <v>2018</v>
      </c>
      <c r="C792" s="12">
        <v>21</v>
      </c>
      <c r="D792" s="12">
        <v>1.00234303333842</v>
      </c>
      <c r="E792" s="12">
        <v>1.00011991477792</v>
      </c>
      <c r="F792" s="12">
        <v>1.0022228520077</v>
      </c>
    </row>
    <row r="793" spans="1:6">
      <c r="A793" s="13">
        <v>826</v>
      </c>
      <c r="B793" s="12">
        <v>2018</v>
      </c>
      <c r="C793" s="12">
        <v>22</v>
      </c>
      <c r="D793" s="12">
        <v>1.01622586630978</v>
      </c>
      <c r="E793" s="12">
        <v>1.0130883471391</v>
      </c>
      <c r="F793" s="12">
        <v>1.00309698475907</v>
      </c>
    </row>
    <row r="794" spans="1:6">
      <c r="A794" s="13">
        <v>827</v>
      </c>
      <c r="B794" s="12">
        <v>2018</v>
      </c>
      <c r="C794" s="12">
        <v>23</v>
      </c>
      <c r="D794" s="12">
        <v>1.01775849032216</v>
      </c>
      <c r="E794" s="12">
        <v>1.00201378883265</v>
      </c>
      <c r="F794" s="12">
        <v>1.01571305870735</v>
      </c>
    </row>
    <row r="795" spans="1:6">
      <c r="A795" s="13">
        <v>828</v>
      </c>
      <c r="B795" s="12">
        <v>2018</v>
      </c>
      <c r="C795" s="12">
        <v>24</v>
      </c>
      <c r="D795" s="12">
        <v>1.00126938813606</v>
      </c>
      <c r="E795" s="12">
        <v>0.994950559904716</v>
      </c>
      <c r="F795" s="12">
        <v>1.0063508967038</v>
      </c>
    </row>
    <row r="796" spans="1:6">
      <c r="A796" s="13">
        <v>829</v>
      </c>
      <c r="B796" s="12">
        <v>2018</v>
      </c>
      <c r="C796" s="12">
        <v>25</v>
      </c>
      <c r="D796" s="12">
        <v>1.02865742534439</v>
      </c>
      <c r="E796" s="12">
        <v>1.00414590704936</v>
      </c>
      <c r="F796" s="12">
        <v>1.02441031539635</v>
      </c>
    </row>
    <row r="797" spans="1:6">
      <c r="A797" s="13">
        <v>830</v>
      </c>
      <c r="B797" s="12">
        <v>2018</v>
      </c>
      <c r="C797" s="12">
        <v>26</v>
      </c>
      <c r="D797" s="12">
        <v>0.968817352544024</v>
      </c>
      <c r="E797" s="12">
        <v>0.968071081176628</v>
      </c>
      <c r="F797" s="12">
        <v>1.00077088488842</v>
      </c>
    </row>
    <row r="798" spans="1:6">
      <c r="A798" s="13">
        <v>831</v>
      </c>
      <c r="B798" s="12">
        <v>2018</v>
      </c>
      <c r="C798" s="12">
        <v>27</v>
      </c>
      <c r="D798" s="12">
        <v>0.988780153764013</v>
      </c>
      <c r="E798" s="12">
        <v>0.989611927392476</v>
      </c>
      <c r="F798" s="12">
        <v>0.999159495146087</v>
      </c>
    </row>
    <row r="799" spans="1:6">
      <c r="A799" s="13">
        <v>832</v>
      </c>
      <c r="B799" s="12">
        <v>2018</v>
      </c>
      <c r="C799" s="12">
        <v>28</v>
      </c>
      <c r="D799" s="12">
        <v>1.00302085218845</v>
      </c>
      <c r="E799" s="12">
        <v>0.999518456888132</v>
      </c>
      <c r="F799" s="12">
        <v>1.00350408266719</v>
      </c>
    </row>
    <row r="800" spans="1:6">
      <c r="A800" s="13">
        <v>833</v>
      </c>
      <c r="B800" s="12">
        <v>2018</v>
      </c>
      <c r="C800" s="12">
        <v>29</v>
      </c>
      <c r="D800" s="12">
        <v>0.998325959511202</v>
      </c>
      <c r="E800" s="12">
        <v>0.995727595033602</v>
      </c>
      <c r="F800" s="12">
        <v>1.00260951337551</v>
      </c>
    </row>
    <row r="801" spans="1:6">
      <c r="A801" s="13">
        <v>834</v>
      </c>
      <c r="B801" s="12">
        <v>2018</v>
      </c>
      <c r="C801" s="12">
        <v>30</v>
      </c>
      <c r="D801" s="12">
        <v>0.971268068997696</v>
      </c>
      <c r="E801" s="12">
        <v>0.94793788997951</v>
      </c>
      <c r="F801" s="12">
        <v>1.02461150594865</v>
      </c>
    </row>
    <row r="802" spans="1:6">
      <c r="A802" s="13">
        <v>835</v>
      </c>
      <c r="B802" s="12">
        <v>2018</v>
      </c>
      <c r="C802" s="12">
        <v>31</v>
      </c>
      <c r="D802" s="12">
        <v>1.01364788134699</v>
      </c>
      <c r="E802" s="12">
        <v>0.981681959255147</v>
      </c>
      <c r="F802" s="12">
        <v>1.03256240148907</v>
      </c>
    </row>
    <row r="803" spans="1:6">
      <c r="A803" s="13">
        <v>836</v>
      </c>
      <c r="B803" s="12">
        <v>2018</v>
      </c>
      <c r="C803" s="12">
        <v>32</v>
      </c>
      <c r="D803" s="12">
        <v>1.00206005157129</v>
      </c>
      <c r="E803" s="12">
        <v>1.0000280041722</v>
      </c>
      <c r="F803" s="12">
        <v>1.00203199049488</v>
      </c>
    </row>
    <row r="804" spans="1:6">
      <c r="A804" s="13">
        <v>837</v>
      </c>
      <c r="B804" s="12">
        <v>2018</v>
      </c>
      <c r="C804" s="12">
        <v>33</v>
      </c>
      <c r="D804" s="12">
        <v>0.991230210916287</v>
      </c>
      <c r="E804" s="12">
        <v>0.977976687690781</v>
      </c>
      <c r="F804" s="12">
        <v>1.01355198277456</v>
      </c>
    </row>
    <row r="805" spans="1:6">
      <c r="A805" s="13">
        <v>838</v>
      </c>
      <c r="B805" s="12">
        <v>2018</v>
      </c>
      <c r="C805" s="12">
        <v>34</v>
      </c>
      <c r="D805" s="12">
        <v>1.03032418875174</v>
      </c>
      <c r="E805" s="12">
        <v>1.00017578836031</v>
      </c>
      <c r="F805" s="12">
        <v>1.03014310158503</v>
      </c>
    </row>
    <row r="806" spans="1:6">
      <c r="A806" s="13">
        <v>839</v>
      </c>
      <c r="B806" s="12">
        <v>2018</v>
      </c>
      <c r="C806" s="12">
        <v>35</v>
      </c>
      <c r="D806" s="12">
        <v>0.995357066387745</v>
      </c>
      <c r="E806" s="12">
        <v>1.00017774749778</v>
      </c>
      <c r="F806" s="12">
        <v>0.995180175601693</v>
      </c>
    </row>
    <row r="807" spans="1:6">
      <c r="A807" s="13">
        <v>840</v>
      </c>
      <c r="B807" s="12">
        <v>2019</v>
      </c>
      <c r="C807" s="12">
        <v>1</v>
      </c>
      <c r="D807" s="12">
        <v>1.01243129864425</v>
      </c>
      <c r="E807" s="12">
        <v>1.01007806407837</v>
      </c>
      <c r="F807" s="12">
        <v>1.00232975514425</v>
      </c>
    </row>
    <row r="808" spans="1:6">
      <c r="A808" s="13">
        <v>841</v>
      </c>
      <c r="B808" s="12">
        <v>2019</v>
      </c>
      <c r="C808" s="12">
        <v>2</v>
      </c>
      <c r="D808" s="12">
        <v>0.994101711309649</v>
      </c>
      <c r="E808" s="12">
        <v>1.00036535502494</v>
      </c>
      <c r="F808" s="12">
        <v>0.993738643902622</v>
      </c>
    </row>
    <row r="809" spans="1:6">
      <c r="A809" s="13">
        <v>842</v>
      </c>
      <c r="B809" s="12">
        <v>2019</v>
      </c>
      <c r="C809" s="12">
        <v>3</v>
      </c>
      <c r="D809" s="12">
        <v>1.00425405381723</v>
      </c>
      <c r="E809" s="12">
        <v>1.00625220965895</v>
      </c>
      <c r="F809" s="12">
        <v>0.998014259424694</v>
      </c>
    </row>
    <row r="810" spans="1:6">
      <c r="A810" s="13">
        <v>843</v>
      </c>
      <c r="B810" s="12">
        <v>2019</v>
      </c>
      <c r="C810" s="12">
        <v>4</v>
      </c>
      <c r="D810" s="12">
        <v>1.0058378687029</v>
      </c>
      <c r="E810" s="12">
        <v>1.01231524034988</v>
      </c>
      <c r="F810" s="12">
        <v>0.993601428301387</v>
      </c>
    </row>
    <row r="811" spans="1:6">
      <c r="A811" s="13">
        <v>844</v>
      </c>
      <c r="B811" s="12">
        <v>2019</v>
      </c>
      <c r="C811" s="12">
        <v>5</v>
      </c>
      <c r="D811" s="12">
        <v>0.994005771028365</v>
      </c>
      <c r="E811" s="12">
        <v>0.993773722634035</v>
      </c>
      <c r="F811" s="12">
        <v>1.00023350224407</v>
      </c>
    </row>
    <row r="812" spans="1:6">
      <c r="A812" s="13">
        <v>845</v>
      </c>
      <c r="B812" s="12">
        <v>2019</v>
      </c>
      <c r="C812" s="12">
        <v>6</v>
      </c>
      <c r="D812" s="12">
        <v>1.00232810877429</v>
      </c>
      <c r="E812" s="12">
        <v>1.00387591171015</v>
      </c>
      <c r="F812" s="12">
        <v>0.998458173049268</v>
      </c>
    </row>
    <row r="813" spans="1:6">
      <c r="A813" s="13">
        <v>846</v>
      </c>
      <c r="B813" s="12">
        <v>2019</v>
      </c>
      <c r="C813" s="12">
        <v>7</v>
      </c>
      <c r="D813" s="12">
        <v>1.00167008821591</v>
      </c>
      <c r="E813" s="12">
        <v>1.00009695693916</v>
      </c>
      <c r="F813" s="12">
        <v>1.00157297876554</v>
      </c>
    </row>
    <row r="814" spans="1:6">
      <c r="A814" s="13">
        <v>847</v>
      </c>
      <c r="B814" s="12">
        <v>2019</v>
      </c>
      <c r="C814" s="12">
        <v>8</v>
      </c>
      <c r="D814" s="12">
        <v>1.00716044569783</v>
      </c>
      <c r="E814" s="12">
        <v>1.00654139293338</v>
      </c>
      <c r="F814" s="12">
        <v>1.00061502961409</v>
      </c>
    </row>
    <row r="815" spans="1:6">
      <c r="A815" s="13">
        <v>848</v>
      </c>
      <c r="B815" s="12">
        <v>2019</v>
      </c>
      <c r="C815" s="12">
        <v>9</v>
      </c>
      <c r="D815" s="12">
        <v>1.00635241924601</v>
      </c>
      <c r="E815" s="12">
        <v>1.00843214035359</v>
      </c>
      <c r="F815" s="12">
        <v>0.997937668758899</v>
      </c>
    </row>
    <row r="816" spans="1:6">
      <c r="A816" s="13">
        <v>849</v>
      </c>
      <c r="B816" s="12">
        <v>2019</v>
      </c>
      <c r="C816" s="12">
        <v>10</v>
      </c>
      <c r="D816" s="12">
        <v>0.984555988084864</v>
      </c>
      <c r="E816" s="12">
        <v>0.999996863987052</v>
      </c>
      <c r="F816" s="12">
        <v>0.984559075674873</v>
      </c>
    </row>
    <row r="817" spans="1:6">
      <c r="A817" s="13">
        <v>850</v>
      </c>
      <c r="B817" s="12">
        <v>2019</v>
      </c>
      <c r="C817" s="12">
        <v>11</v>
      </c>
      <c r="D817" s="12">
        <v>0.994253595731923</v>
      </c>
      <c r="E817" s="12">
        <v>0.999972462212655</v>
      </c>
      <c r="F817" s="12">
        <v>0.994280976030002</v>
      </c>
    </row>
    <row r="818" spans="1:6">
      <c r="A818" s="13">
        <v>851</v>
      </c>
      <c r="B818" s="12">
        <v>2019</v>
      </c>
      <c r="C818" s="12">
        <v>12</v>
      </c>
      <c r="D818" s="12">
        <v>1.02217195673862</v>
      </c>
      <c r="E818" s="12">
        <v>1.00021110998117</v>
      </c>
      <c r="F818" s="12">
        <v>1.02195621158204</v>
      </c>
    </row>
    <row r="819" spans="1:6">
      <c r="A819" s="13">
        <v>852</v>
      </c>
      <c r="B819" s="12">
        <v>2019</v>
      </c>
      <c r="C819" s="12">
        <v>13</v>
      </c>
      <c r="D819" s="12">
        <v>0.99852317648975</v>
      </c>
      <c r="E819" s="12">
        <v>0.999802731742383</v>
      </c>
      <c r="F819" s="12">
        <v>0.998720192281929</v>
      </c>
    </row>
    <row r="820" spans="1:6">
      <c r="A820" s="13">
        <v>853</v>
      </c>
      <c r="B820" s="12">
        <v>2019</v>
      </c>
      <c r="C820" s="12">
        <v>14</v>
      </c>
      <c r="D820" s="12">
        <v>1.02294029842063</v>
      </c>
      <c r="E820" s="12">
        <v>1.00011405104873</v>
      </c>
      <c r="F820" s="12">
        <v>1.02282364431133</v>
      </c>
    </row>
    <row r="821" spans="1:6">
      <c r="A821" s="13">
        <v>854</v>
      </c>
      <c r="B821" s="12">
        <v>2019</v>
      </c>
      <c r="C821" s="12">
        <v>15</v>
      </c>
      <c r="D821" s="12">
        <v>1.00295255449969</v>
      </c>
      <c r="E821" s="12">
        <v>1.00004206207824</v>
      </c>
      <c r="F821" s="12">
        <v>1.00291037000524</v>
      </c>
    </row>
    <row r="822" spans="1:6">
      <c r="A822" s="13">
        <v>855</v>
      </c>
      <c r="B822" s="12">
        <v>2019</v>
      </c>
      <c r="C822" s="12">
        <v>16</v>
      </c>
      <c r="D822" s="12">
        <v>0.999819919041953</v>
      </c>
      <c r="E822" s="12">
        <v>1.00620061427193</v>
      </c>
      <c r="F822" s="12">
        <v>0.993658625189175</v>
      </c>
    </row>
    <row r="823" spans="1:6">
      <c r="A823" s="13">
        <v>856</v>
      </c>
      <c r="B823" s="12">
        <v>2019</v>
      </c>
      <c r="C823" s="12">
        <v>17</v>
      </c>
      <c r="D823" s="12">
        <v>1.00229366142132</v>
      </c>
      <c r="E823" s="12">
        <v>1.01891271358025</v>
      </c>
      <c r="F823" s="12">
        <v>0.983689425072993</v>
      </c>
    </row>
    <row r="824" spans="1:6">
      <c r="A824" s="13">
        <v>857</v>
      </c>
      <c r="B824" s="12">
        <v>2019</v>
      </c>
      <c r="C824" s="12">
        <v>18</v>
      </c>
      <c r="D824" s="12">
        <v>1.03093486730945</v>
      </c>
      <c r="E824" s="12">
        <v>1.02190117885601</v>
      </c>
      <c r="F824" s="12">
        <v>1.00884008027425</v>
      </c>
    </row>
    <row r="825" spans="1:6">
      <c r="A825" s="13">
        <v>858</v>
      </c>
      <c r="B825" s="12">
        <v>2019</v>
      </c>
      <c r="C825" s="12">
        <v>19</v>
      </c>
      <c r="D825" s="12">
        <v>0.981850395210232</v>
      </c>
      <c r="E825" s="12">
        <v>0.987577565268875</v>
      </c>
      <c r="F825" s="12">
        <v>0.994200789629032</v>
      </c>
    </row>
    <row r="826" spans="1:6">
      <c r="A826" s="13">
        <v>859</v>
      </c>
      <c r="B826" s="12">
        <v>2019</v>
      </c>
      <c r="C826" s="12">
        <v>20</v>
      </c>
      <c r="D826" s="12">
        <v>0.999235061813772</v>
      </c>
      <c r="E826" s="12">
        <v>0.999989178088839</v>
      </c>
      <c r="F826" s="12">
        <v>0.999245875563866</v>
      </c>
    </row>
    <row r="827" spans="1:6">
      <c r="A827" s="13">
        <v>860</v>
      </c>
      <c r="B827" s="12">
        <v>2019</v>
      </c>
      <c r="C827" s="12">
        <v>21</v>
      </c>
      <c r="D827" s="12">
        <v>1.00553320162248</v>
      </c>
      <c r="E827" s="12">
        <v>0.999883246158727</v>
      </c>
      <c r="F827" s="12">
        <v>1.00565061519478</v>
      </c>
    </row>
    <row r="828" spans="1:6">
      <c r="A828" s="13">
        <v>861</v>
      </c>
      <c r="B828" s="12">
        <v>2019</v>
      </c>
      <c r="C828" s="12">
        <v>22</v>
      </c>
      <c r="D828" s="12">
        <v>1.04403124323952</v>
      </c>
      <c r="E828" s="12">
        <v>1.06461460305266</v>
      </c>
      <c r="F828" s="12">
        <v>0.980665905056987</v>
      </c>
    </row>
    <row r="829" spans="1:6">
      <c r="A829" s="13">
        <v>862</v>
      </c>
      <c r="B829" s="12">
        <v>2019</v>
      </c>
      <c r="C829" s="12">
        <v>23</v>
      </c>
      <c r="D829" s="12">
        <v>0.970387642188824</v>
      </c>
      <c r="E829" s="12">
        <v>0.972281932258105</v>
      </c>
      <c r="F829" s="12">
        <v>0.998051707013745</v>
      </c>
    </row>
    <row r="830" spans="1:6">
      <c r="A830" s="13">
        <v>863</v>
      </c>
      <c r="B830" s="12">
        <v>2019</v>
      </c>
      <c r="C830" s="12">
        <v>24</v>
      </c>
      <c r="D830" s="12">
        <v>0.998278825551491</v>
      </c>
      <c r="E830" s="12">
        <v>1.0007648264499</v>
      </c>
      <c r="F830" s="12">
        <v>0.997515899007738</v>
      </c>
    </row>
    <row r="831" spans="1:6">
      <c r="A831" s="13">
        <v>864</v>
      </c>
      <c r="B831" s="12">
        <v>2019</v>
      </c>
      <c r="C831" s="12">
        <v>25</v>
      </c>
      <c r="D831" s="12">
        <v>0.970528575316595</v>
      </c>
      <c r="E831" s="12">
        <v>0.977508551171665</v>
      </c>
      <c r="F831" s="12">
        <v>0.992859422204846</v>
      </c>
    </row>
    <row r="832" spans="1:6">
      <c r="A832" s="13">
        <v>865</v>
      </c>
      <c r="B832" s="12">
        <v>2019</v>
      </c>
      <c r="C832" s="12">
        <v>26</v>
      </c>
      <c r="D832" s="12">
        <v>1.02062612207879</v>
      </c>
      <c r="E832" s="12">
        <v>1.01888715389682</v>
      </c>
      <c r="F832" s="12">
        <v>1.00170673285586</v>
      </c>
    </row>
    <row r="833" spans="1:6">
      <c r="A833" s="13">
        <v>866</v>
      </c>
      <c r="B833" s="12">
        <v>2019</v>
      </c>
      <c r="C833" s="12">
        <v>27</v>
      </c>
      <c r="D833" s="12">
        <v>1.00169444011688</v>
      </c>
      <c r="E833" s="12">
        <v>1.0017659707096</v>
      </c>
      <c r="F833" s="12">
        <v>0.999928595505521</v>
      </c>
    </row>
    <row r="834" spans="1:6">
      <c r="A834" s="13">
        <v>867</v>
      </c>
      <c r="B834" s="12">
        <v>2019</v>
      </c>
      <c r="C834" s="12">
        <v>28</v>
      </c>
      <c r="D834" s="12">
        <v>1.0027261344197</v>
      </c>
      <c r="E834" s="12">
        <v>1.00400961095154</v>
      </c>
      <c r="F834" s="12">
        <v>0.998721649157706</v>
      </c>
    </row>
    <row r="835" spans="1:6">
      <c r="A835" s="13">
        <v>868</v>
      </c>
      <c r="B835" s="12">
        <v>2019</v>
      </c>
      <c r="C835" s="12">
        <v>29</v>
      </c>
      <c r="D835" s="12">
        <v>1.00120102665624</v>
      </c>
      <c r="E835" s="12">
        <v>1.00245525578374</v>
      </c>
      <c r="F835" s="12">
        <v>0.998748842783486</v>
      </c>
    </row>
    <row r="836" spans="1:6">
      <c r="A836" s="13">
        <v>869</v>
      </c>
      <c r="B836" s="12">
        <v>2019</v>
      </c>
      <c r="C836" s="12">
        <v>30</v>
      </c>
      <c r="D836" s="12">
        <v>0.995771383369038</v>
      </c>
      <c r="E836" s="12">
        <v>1.00158482802584</v>
      </c>
      <c r="F836" s="12">
        <v>0.994195754074809</v>
      </c>
    </row>
    <row r="837" spans="1:6">
      <c r="A837" s="13">
        <v>870</v>
      </c>
      <c r="B837" s="12">
        <v>2019</v>
      </c>
      <c r="C837" s="12">
        <v>31</v>
      </c>
      <c r="D837" s="12">
        <v>0.996120236729016</v>
      </c>
      <c r="E837" s="12">
        <v>1.03179176893344</v>
      </c>
      <c r="F837" s="12">
        <v>0.96542758599315</v>
      </c>
    </row>
    <row r="838" spans="1:6">
      <c r="A838" s="13">
        <v>871</v>
      </c>
      <c r="B838" s="12">
        <v>2019</v>
      </c>
      <c r="C838" s="12">
        <v>32</v>
      </c>
      <c r="D838" s="12">
        <v>0.994122054987618</v>
      </c>
      <c r="E838" s="12">
        <v>1.00003949430868</v>
      </c>
      <c r="F838" s="12">
        <v>0.994082794374889</v>
      </c>
    </row>
    <row r="839" spans="1:6">
      <c r="A839" s="13">
        <v>872</v>
      </c>
      <c r="B839" s="12">
        <v>2019</v>
      </c>
      <c r="C839" s="12">
        <v>33</v>
      </c>
      <c r="D839" s="12">
        <v>1.05292878322613</v>
      </c>
      <c r="E839" s="12">
        <v>1.05500462017852</v>
      </c>
      <c r="F839" s="12">
        <v>0.99803239065244</v>
      </c>
    </row>
    <row r="840" spans="1:6">
      <c r="A840" s="13">
        <v>873</v>
      </c>
      <c r="B840" s="12">
        <v>2019</v>
      </c>
      <c r="C840" s="12">
        <v>34</v>
      </c>
      <c r="D840" s="12">
        <v>0.989373584255863</v>
      </c>
      <c r="E840" s="12">
        <v>1.00008921613174</v>
      </c>
      <c r="F840" s="12">
        <v>0.989285324046065</v>
      </c>
    </row>
    <row r="841" spans="1:6">
      <c r="A841" s="13">
        <v>874</v>
      </c>
      <c r="B841" s="12">
        <v>2019</v>
      </c>
      <c r="C841" s="12">
        <v>35</v>
      </c>
      <c r="D841" s="12">
        <v>1.00348815523269</v>
      </c>
      <c r="E841" s="12">
        <v>1.00001076893463</v>
      </c>
      <c r="F841" s="12">
        <v>1.00347734885072</v>
      </c>
    </row>
    <row r="842" spans="1:6">
      <c r="A842" s="13">
        <v>875</v>
      </c>
      <c r="B842" s="12">
        <v>2020</v>
      </c>
      <c r="C842" s="12">
        <v>1</v>
      </c>
      <c r="D842" s="12">
        <v>1.00966903127515</v>
      </c>
      <c r="E842" s="12">
        <v>0.998501645997857</v>
      </c>
      <c r="F842" s="12">
        <v>1.01118414308285</v>
      </c>
    </row>
    <row r="843" spans="1:6">
      <c r="A843" s="13">
        <v>876</v>
      </c>
      <c r="B843" s="12">
        <v>2020</v>
      </c>
      <c r="C843" s="12">
        <v>2</v>
      </c>
      <c r="D843" s="12">
        <v>1.00599199269091</v>
      </c>
      <c r="E843" s="12">
        <v>1.00263961544986</v>
      </c>
      <c r="F843" s="12">
        <v>1.00334355155071</v>
      </c>
    </row>
    <row r="844" spans="1:6">
      <c r="A844" s="13">
        <v>877</v>
      </c>
      <c r="B844" s="12">
        <v>2020</v>
      </c>
      <c r="C844" s="12">
        <v>3</v>
      </c>
      <c r="D844" s="12">
        <v>1.01644455894194</v>
      </c>
      <c r="E844" s="12">
        <v>1.00032033282296</v>
      </c>
      <c r="F844" s="12">
        <v>1.01611906265413</v>
      </c>
    </row>
    <row r="845" spans="1:6">
      <c r="A845" s="13">
        <v>878</v>
      </c>
      <c r="B845" s="12">
        <v>2020</v>
      </c>
      <c r="C845" s="12">
        <v>4</v>
      </c>
      <c r="D845" s="12">
        <v>0.997372437011919</v>
      </c>
      <c r="E845" s="12">
        <v>0.98692870338051</v>
      </c>
      <c r="F845" s="12">
        <v>1.01058205480866</v>
      </c>
    </row>
    <row r="846" spans="1:6">
      <c r="A846" s="13">
        <v>879</v>
      </c>
      <c r="B846" s="12">
        <v>2020</v>
      </c>
      <c r="C846" s="12">
        <v>5</v>
      </c>
      <c r="D846" s="12">
        <v>1.00936663896108</v>
      </c>
      <c r="E846" s="12">
        <v>1.00876142784438</v>
      </c>
      <c r="F846" s="12">
        <v>1.00059995465726</v>
      </c>
    </row>
    <row r="847" spans="1:6">
      <c r="A847" s="13">
        <v>880</v>
      </c>
      <c r="B847" s="12">
        <v>2020</v>
      </c>
      <c r="C847" s="12">
        <v>6</v>
      </c>
      <c r="D847" s="12">
        <v>1.01025029926285</v>
      </c>
      <c r="E847" s="12">
        <v>1.00850691067559</v>
      </c>
      <c r="F847" s="12">
        <v>1.00172868283678</v>
      </c>
    </row>
    <row r="848" spans="1:6">
      <c r="A848" s="13">
        <v>881</v>
      </c>
      <c r="B848" s="12">
        <v>2020</v>
      </c>
      <c r="C848" s="12">
        <v>7</v>
      </c>
      <c r="D848" s="12">
        <v>1.00905358339085</v>
      </c>
      <c r="E848" s="12">
        <v>1.00009032885064</v>
      </c>
      <c r="F848" s="12">
        <v>1.00896244497285</v>
      </c>
    </row>
    <row r="849" spans="1:6">
      <c r="A849" s="13">
        <v>882</v>
      </c>
      <c r="B849" s="12">
        <v>2020</v>
      </c>
      <c r="C849" s="12">
        <v>8</v>
      </c>
      <c r="D849" s="12">
        <v>1.00213138422688</v>
      </c>
      <c r="E849" s="12">
        <v>0.998909794352386</v>
      </c>
      <c r="F849" s="12">
        <v>1.00322510590317</v>
      </c>
    </row>
    <row r="850" spans="1:6">
      <c r="A850" s="13">
        <v>883</v>
      </c>
      <c r="B850" s="12">
        <v>2020</v>
      </c>
      <c r="C850" s="12">
        <v>9</v>
      </c>
      <c r="D850" s="12">
        <v>1.00113409941212</v>
      </c>
      <c r="E850" s="12">
        <v>0.995657512394086</v>
      </c>
      <c r="F850" s="12">
        <v>1.00550047275278</v>
      </c>
    </row>
    <row r="851" spans="1:6">
      <c r="A851" s="13">
        <v>884</v>
      </c>
      <c r="B851" s="12">
        <v>2020</v>
      </c>
      <c r="C851" s="12">
        <v>10</v>
      </c>
      <c r="D851" s="12">
        <v>1.00547796583103</v>
      </c>
      <c r="E851" s="12">
        <v>1.00002254270023</v>
      </c>
      <c r="F851" s="12">
        <v>1.0054553001536</v>
      </c>
    </row>
    <row r="852" spans="1:6">
      <c r="A852" s="13">
        <v>885</v>
      </c>
      <c r="B852" s="12">
        <v>2020</v>
      </c>
      <c r="C852" s="12">
        <v>11</v>
      </c>
      <c r="D852" s="12">
        <v>0.992752148646186</v>
      </c>
      <c r="E852" s="12">
        <v>1.00001857117585</v>
      </c>
      <c r="F852" s="12">
        <v>0.992733712413845</v>
      </c>
    </row>
    <row r="853" spans="1:6">
      <c r="A853" s="13">
        <v>886</v>
      </c>
      <c r="B853" s="12">
        <v>2020</v>
      </c>
      <c r="C853" s="12">
        <v>12</v>
      </c>
      <c r="D853" s="12">
        <v>0.978951864376907</v>
      </c>
      <c r="E853" s="12">
        <v>0.999695488529445</v>
      </c>
      <c r="F853" s="12">
        <v>0.979250057251882</v>
      </c>
    </row>
    <row r="854" spans="1:6">
      <c r="A854" s="13">
        <v>887</v>
      </c>
      <c r="B854" s="12">
        <v>2020</v>
      </c>
      <c r="C854" s="12">
        <v>13</v>
      </c>
      <c r="D854" s="12">
        <v>1.00071454188275</v>
      </c>
      <c r="E854" s="12">
        <v>0.999564701952125</v>
      </c>
      <c r="F854" s="12">
        <v>1.00115034067167</v>
      </c>
    </row>
    <row r="855" spans="1:6">
      <c r="A855" s="13">
        <v>888</v>
      </c>
      <c r="B855" s="12">
        <v>2020</v>
      </c>
      <c r="C855" s="12">
        <v>14</v>
      </c>
      <c r="D855" s="12">
        <v>0.991371145250399</v>
      </c>
      <c r="E855" s="12">
        <v>0.999998619381454</v>
      </c>
      <c r="F855" s="12">
        <v>0.991372513957678</v>
      </c>
    </row>
    <row r="856" spans="1:6">
      <c r="A856" s="13">
        <v>889</v>
      </c>
      <c r="B856" s="12">
        <v>2020</v>
      </c>
      <c r="C856" s="12">
        <v>15</v>
      </c>
      <c r="D856" s="12">
        <v>1.00907061705022</v>
      </c>
      <c r="E856" s="12">
        <v>1.00004095449986</v>
      </c>
      <c r="F856" s="12">
        <v>1.00902929276019</v>
      </c>
    </row>
    <row r="857" spans="1:6">
      <c r="A857" s="13">
        <v>890</v>
      </c>
      <c r="B857" s="12">
        <v>2020</v>
      </c>
      <c r="C857" s="12">
        <v>16</v>
      </c>
      <c r="D857" s="12">
        <v>1.00811879084455</v>
      </c>
      <c r="E857" s="12">
        <v>1.00380154443095</v>
      </c>
      <c r="F857" s="12">
        <v>1.00430089636498</v>
      </c>
    </row>
    <row r="858" spans="1:6">
      <c r="A858" s="13">
        <v>891</v>
      </c>
      <c r="B858" s="12">
        <v>2020</v>
      </c>
      <c r="C858" s="12">
        <v>17</v>
      </c>
      <c r="D858" s="12">
        <v>1.0140535179591</v>
      </c>
      <c r="E858" s="12">
        <v>0.986092558434814</v>
      </c>
      <c r="F858" s="12">
        <v>1.02835530933188</v>
      </c>
    </row>
    <row r="859" spans="1:6">
      <c r="A859" s="13">
        <v>892</v>
      </c>
      <c r="B859" s="12">
        <v>2020</v>
      </c>
      <c r="C859" s="12">
        <v>18</v>
      </c>
      <c r="D859" s="12">
        <v>1.0427286637132</v>
      </c>
      <c r="E859" s="12">
        <v>1.01068181850918</v>
      </c>
      <c r="F859" s="12">
        <v>1.03170814455858</v>
      </c>
    </row>
    <row r="860" spans="1:6">
      <c r="A860" s="13">
        <v>893</v>
      </c>
      <c r="B860" s="12">
        <v>2020</v>
      </c>
      <c r="C860" s="12">
        <v>19</v>
      </c>
      <c r="D860" s="12">
        <v>0.998529952803957</v>
      </c>
      <c r="E860" s="12">
        <v>1.00341217635521</v>
      </c>
      <c r="F860" s="12">
        <v>0.995134378806334</v>
      </c>
    </row>
    <row r="861" spans="1:6">
      <c r="A861" s="13">
        <v>894</v>
      </c>
      <c r="B861" s="12">
        <v>2020</v>
      </c>
      <c r="C861" s="12">
        <v>20</v>
      </c>
      <c r="D861" s="12">
        <v>1.00346537975778</v>
      </c>
      <c r="E861" s="12">
        <v>0.999987490002079</v>
      </c>
      <c r="F861" s="12">
        <v>1.00347793326464</v>
      </c>
    </row>
    <row r="862" spans="1:6">
      <c r="A862" s="13">
        <v>895</v>
      </c>
      <c r="B862" s="12">
        <v>2020</v>
      </c>
      <c r="C862" s="12">
        <v>21</v>
      </c>
      <c r="D862" s="12">
        <v>0.997323950456967</v>
      </c>
      <c r="E862" s="12">
        <v>1.00008964606913</v>
      </c>
      <c r="F862" s="12">
        <v>0.997234552299355</v>
      </c>
    </row>
    <row r="863" spans="1:6">
      <c r="A863" s="13">
        <v>896</v>
      </c>
      <c r="B863" s="12">
        <v>2020</v>
      </c>
      <c r="C863" s="12">
        <v>22</v>
      </c>
      <c r="D863" s="12">
        <v>1.06184660225522</v>
      </c>
      <c r="E863" s="12">
        <v>1.05400832775805</v>
      </c>
      <c r="F863" s="12">
        <v>1.00743663431373</v>
      </c>
    </row>
    <row r="864" spans="1:6">
      <c r="A864" s="13">
        <v>897</v>
      </c>
      <c r="B864" s="12">
        <v>2020</v>
      </c>
      <c r="C864" s="12">
        <v>23</v>
      </c>
      <c r="D864" s="12">
        <v>1.00946390223318</v>
      </c>
      <c r="E864" s="12">
        <v>0.999588942704114</v>
      </c>
      <c r="F864" s="12">
        <v>1.00987902037247</v>
      </c>
    </row>
    <row r="865" spans="1:6">
      <c r="A865" s="13">
        <v>898</v>
      </c>
      <c r="B865" s="12">
        <v>2020</v>
      </c>
      <c r="C865" s="12">
        <v>24</v>
      </c>
      <c r="D865" s="12">
        <v>1.00463490495975</v>
      </c>
      <c r="E865" s="12">
        <v>1.0022281676112</v>
      </c>
      <c r="F865" s="12">
        <v>1.00240138665658</v>
      </c>
    </row>
    <row r="866" spans="1:6">
      <c r="A866" s="13">
        <v>899</v>
      </c>
      <c r="B866" s="12">
        <v>2020</v>
      </c>
      <c r="C866" s="12">
        <v>25</v>
      </c>
      <c r="D866" s="12">
        <v>0.976981348450928</v>
      </c>
      <c r="E866" s="12">
        <v>0.94474324235286</v>
      </c>
      <c r="F866" s="12">
        <v>1.03412366942978</v>
      </c>
    </row>
    <row r="867" spans="1:6">
      <c r="A867" s="13">
        <v>900</v>
      </c>
      <c r="B867" s="12">
        <v>2020</v>
      </c>
      <c r="C867" s="12">
        <v>26</v>
      </c>
      <c r="D867" s="12">
        <v>1.0509005979594</v>
      </c>
      <c r="E867" s="12">
        <v>1.066144330806</v>
      </c>
      <c r="F867" s="12">
        <v>0.985701998870009</v>
      </c>
    </row>
    <row r="868" spans="1:6">
      <c r="A868" s="13">
        <v>901</v>
      </c>
      <c r="B868" s="12">
        <v>2020</v>
      </c>
      <c r="C868" s="12">
        <v>27</v>
      </c>
      <c r="D868" s="12">
        <v>1.00770868546242</v>
      </c>
      <c r="E868" s="12">
        <v>0.992252961373315</v>
      </c>
      <c r="F868" s="12">
        <v>1.01557639502301</v>
      </c>
    </row>
    <row r="869" spans="1:6">
      <c r="A869" s="13">
        <v>902</v>
      </c>
      <c r="B869" s="12">
        <v>2020</v>
      </c>
      <c r="C869" s="12">
        <v>28</v>
      </c>
      <c r="D869" s="12">
        <v>1.00214445705925</v>
      </c>
      <c r="E869" s="12">
        <v>1.00233050392233</v>
      </c>
      <c r="F869" s="12">
        <v>0.999814385711744</v>
      </c>
    </row>
    <row r="870" spans="1:6">
      <c r="A870" s="13">
        <v>903</v>
      </c>
      <c r="B870" s="12">
        <v>2020</v>
      </c>
      <c r="C870" s="12">
        <v>29</v>
      </c>
      <c r="D870" s="12">
        <v>1.00188317255337</v>
      </c>
      <c r="E870" s="12">
        <v>0.998978457951837</v>
      </c>
      <c r="F870" s="12">
        <v>1.00290768492395</v>
      </c>
    </row>
    <row r="871" spans="1:6">
      <c r="A871" s="13">
        <v>904</v>
      </c>
      <c r="B871" s="12">
        <v>2020</v>
      </c>
      <c r="C871" s="12">
        <v>30</v>
      </c>
      <c r="D871" s="12">
        <v>1.01535293164066</v>
      </c>
      <c r="E871" s="12">
        <v>0.990230851640809</v>
      </c>
      <c r="F871" s="12">
        <v>1.02536992253698</v>
      </c>
    </row>
    <row r="872" spans="1:6">
      <c r="A872" s="13">
        <v>905</v>
      </c>
      <c r="B872" s="12">
        <v>2020</v>
      </c>
      <c r="C872" s="12">
        <v>31</v>
      </c>
      <c r="D872" s="12">
        <v>1.01726180508313</v>
      </c>
      <c r="E872" s="12">
        <v>1.02391136166144</v>
      </c>
      <c r="F872" s="12">
        <v>0.993505730254303</v>
      </c>
    </row>
    <row r="873" spans="1:6">
      <c r="A873" s="13">
        <v>906</v>
      </c>
      <c r="B873" s="12">
        <v>2020</v>
      </c>
      <c r="C873" s="12">
        <v>32</v>
      </c>
      <c r="D873" s="12">
        <v>1.01304429091795</v>
      </c>
      <c r="E873" s="12">
        <v>0.999910951108295</v>
      </c>
      <c r="F873" s="12">
        <v>1.01313450942316</v>
      </c>
    </row>
    <row r="874" spans="1:6">
      <c r="A874" s="13">
        <v>907</v>
      </c>
      <c r="B874" s="12">
        <v>2020</v>
      </c>
      <c r="C874" s="12">
        <v>33</v>
      </c>
      <c r="D874" s="12">
        <v>0.931583179214352</v>
      </c>
      <c r="E874" s="12">
        <v>0.91880566413932</v>
      </c>
      <c r="F874" s="12">
        <v>1.0139066568413</v>
      </c>
    </row>
    <row r="875" spans="1:6">
      <c r="A875" s="13">
        <v>908</v>
      </c>
      <c r="B875" s="12">
        <v>2020</v>
      </c>
      <c r="C875" s="12">
        <v>34</v>
      </c>
      <c r="D875" s="12">
        <v>1.02770850071848</v>
      </c>
      <c r="E875" s="12">
        <v>0.999981181896006</v>
      </c>
      <c r="F875" s="12">
        <v>1.02772784060786</v>
      </c>
    </row>
    <row r="876" spans="1:6">
      <c r="A876" s="13">
        <v>909</v>
      </c>
      <c r="B876" s="12">
        <v>2020</v>
      </c>
      <c r="C876" s="12">
        <v>35</v>
      </c>
      <c r="D876" s="12">
        <v>1.01761195991379</v>
      </c>
      <c r="E876" s="12">
        <v>0.999960454323279</v>
      </c>
      <c r="F876" s="12">
        <v>1.01765220365885</v>
      </c>
    </row>
    <row r="877" spans="1:6">
      <c r="A877" s="13">
        <v>910</v>
      </c>
      <c r="B877" s="12">
        <v>2021</v>
      </c>
      <c r="C877" s="12">
        <v>1</v>
      </c>
      <c r="D877" s="12">
        <v>1.0311497383828</v>
      </c>
      <c r="E877" s="12">
        <v>0.978434583549375</v>
      </c>
      <c r="F877" s="12">
        <v>1.05387703554201</v>
      </c>
    </row>
    <row r="878" spans="1:6">
      <c r="A878" s="13">
        <v>911</v>
      </c>
      <c r="B878" s="12">
        <v>2021</v>
      </c>
      <c r="C878" s="12">
        <v>2</v>
      </c>
      <c r="D878" s="12">
        <v>1.00534129992475</v>
      </c>
      <c r="E878" s="12">
        <v>0.982742011620258</v>
      </c>
      <c r="F878" s="12">
        <v>1.02299615569221</v>
      </c>
    </row>
    <row r="879" spans="1:6">
      <c r="A879" s="13">
        <v>912</v>
      </c>
      <c r="B879" s="12">
        <v>2021</v>
      </c>
      <c r="C879" s="12">
        <v>3</v>
      </c>
      <c r="D879" s="12">
        <v>1.00055358075046</v>
      </c>
      <c r="E879" s="12">
        <v>0.961846363734476</v>
      </c>
      <c r="F879" s="12">
        <v>1.04024261927414</v>
      </c>
    </row>
    <row r="880" spans="1:6">
      <c r="A880" s="13">
        <v>913</v>
      </c>
      <c r="B880" s="12">
        <v>2021</v>
      </c>
      <c r="C880" s="12">
        <v>4</v>
      </c>
      <c r="D880" s="12">
        <v>1.01192573964364</v>
      </c>
      <c r="E880" s="12">
        <v>0.974405475234785</v>
      </c>
      <c r="F880" s="12">
        <v>1.03850580211468</v>
      </c>
    </row>
    <row r="881" spans="1:6">
      <c r="A881" s="13">
        <v>914</v>
      </c>
      <c r="B881" s="12">
        <v>2021</v>
      </c>
      <c r="C881" s="12">
        <v>5</v>
      </c>
      <c r="D881" s="12">
        <v>0.99774671471395</v>
      </c>
      <c r="E881" s="12">
        <v>0.98515465870459</v>
      </c>
      <c r="F881" s="12">
        <v>1.01278180628605</v>
      </c>
    </row>
    <row r="882" spans="1:6">
      <c r="A882" s="13">
        <v>915</v>
      </c>
      <c r="B882" s="12">
        <v>2021</v>
      </c>
      <c r="C882" s="12">
        <v>6</v>
      </c>
      <c r="D882" s="12">
        <v>1.00535795350272</v>
      </c>
      <c r="E882" s="12">
        <v>0.9901769160151</v>
      </c>
      <c r="F882" s="12">
        <v>1.0153316414896</v>
      </c>
    </row>
    <row r="883" spans="1:6">
      <c r="A883" s="13">
        <v>916</v>
      </c>
      <c r="B883" s="12">
        <v>2021</v>
      </c>
      <c r="C883" s="12">
        <v>7</v>
      </c>
      <c r="D883" s="12">
        <v>0.997640112228377</v>
      </c>
      <c r="E883" s="12">
        <v>0.975771908796167</v>
      </c>
      <c r="F883" s="12">
        <v>1.02241118363326</v>
      </c>
    </row>
    <row r="884" spans="1:6">
      <c r="A884" s="13">
        <v>917</v>
      </c>
      <c r="B884" s="12">
        <v>2021</v>
      </c>
      <c r="C884" s="12">
        <v>8</v>
      </c>
      <c r="D884" s="12">
        <v>0.998631348246863</v>
      </c>
      <c r="E884" s="12">
        <v>1.00059281672317</v>
      </c>
      <c r="F884" s="12">
        <v>0.998039693626095</v>
      </c>
    </row>
    <row r="885" spans="1:6">
      <c r="A885" s="13">
        <v>918</v>
      </c>
      <c r="B885" s="12">
        <v>2021</v>
      </c>
      <c r="C885" s="12">
        <v>9</v>
      </c>
      <c r="D885" s="12">
        <v>0.998078838001906</v>
      </c>
      <c r="E885" s="12">
        <v>0.983470537209407</v>
      </c>
      <c r="F885" s="12">
        <v>1.01485382656602</v>
      </c>
    </row>
    <row r="886" spans="1:6">
      <c r="A886" s="13">
        <v>919</v>
      </c>
      <c r="B886" s="12">
        <v>2021</v>
      </c>
      <c r="C886" s="12">
        <v>10</v>
      </c>
      <c r="D886" s="12">
        <v>1.03019443681076</v>
      </c>
      <c r="E886" s="12">
        <v>0.999881662849567</v>
      </c>
      <c r="F886" s="12">
        <v>1.03031636151303</v>
      </c>
    </row>
    <row r="887" spans="1:6">
      <c r="A887" s="13">
        <v>920</v>
      </c>
      <c r="B887" s="12">
        <v>2021</v>
      </c>
      <c r="C887" s="12">
        <v>11</v>
      </c>
      <c r="D887" s="12">
        <v>1.03741575566239</v>
      </c>
      <c r="E887" s="12">
        <v>0.96520974729221</v>
      </c>
      <c r="F887" s="12">
        <v>1.07480861913459</v>
      </c>
    </row>
    <row r="888" spans="1:6">
      <c r="A888" s="13">
        <v>921</v>
      </c>
      <c r="B888" s="12">
        <v>2021</v>
      </c>
      <c r="C888" s="12">
        <v>12</v>
      </c>
      <c r="D888" s="12">
        <v>0.957286198801225</v>
      </c>
      <c r="E888" s="12">
        <v>0.999651826256408</v>
      </c>
      <c r="F888" s="12">
        <v>0.957619616808146</v>
      </c>
    </row>
    <row r="889" spans="1:6">
      <c r="A889" s="13">
        <v>922</v>
      </c>
      <c r="B889" s="12">
        <v>2021</v>
      </c>
      <c r="C889" s="12">
        <v>13</v>
      </c>
      <c r="D889" s="12">
        <v>0.997776704008554</v>
      </c>
      <c r="E889" s="12">
        <v>0.992519585154825</v>
      </c>
      <c r="F889" s="12">
        <v>1.00529674067128</v>
      </c>
    </row>
    <row r="890" spans="1:6">
      <c r="A890" s="13">
        <v>923</v>
      </c>
      <c r="B890" s="12">
        <v>2021</v>
      </c>
      <c r="C890" s="12">
        <v>14</v>
      </c>
      <c r="D890" s="12">
        <v>0.987273474177845</v>
      </c>
      <c r="E890" s="12">
        <v>1.00006925352416</v>
      </c>
      <c r="F890" s="12">
        <v>0.987205106745132</v>
      </c>
    </row>
    <row r="891" spans="1:6">
      <c r="A891" s="13">
        <v>924</v>
      </c>
      <c r="B891" s="12">
        <v>2021</v>
      </c>
      <c r="C891" s="12">
        <v>15</v>
      </c>
      <c r="D891" s="12">
        <v>1.01085171083725</v>
      </c>
      <c r="E891" s="12">
        <v>1.00024806009829</v>
      </c>
      <c r="F891" s="12">
        <v>1.01060102104863</v>
      </c>
    </row>
    <row r="892" spans="1:6">
      <c r="A892" s="13">
        <v>925</v>
      </c>
      <c r="B892" s="12">
        <v>2021</v>
      </c>
      <c r="C892" s="12">
        <v>16</v>
      </c>
      <c r="D892" s="12">
        <v>1.00911612691308</v>
      </c>
      <c r="E892" s="12">
        <v>0.987774956723063</v>
      </c>
      <c r="F892" s="12">
        <v>1.021605295867</v>
      </c>
    </row>
    <row r="893" spans="1:6">
      <c r="A893" s="13">
        <v>926</v>
      </c>
      <c r="B893" s="12">
        <v>2021</v>
      </c>
      <c r="C893" s="12">
        <v>17</v>
      </c>
      <c r="D893" s="12">
        <v>0.932398002215506</v>
      </c>
      <c r="E893" s="12">
        <v>0.914980814021912</v>
      </c>
      <c r="F893" s="12">
        <v>1.01903557749701</v>
      </c>
    </row>
    <row r="894" spans="1:6">
      <c r="A894" s="13">
        <v>927</v>
      </c>
      <c r="B894" s="12">
        <v>2021</v>
      </c>
      <c r="C894" s="12">
        <v>18</v>
      </c>
      <c r="D894" s="12">
        <v>0.966265152828263</v>
      </c>
      <c r="E894" s="12">
        <v>0.895501776412125</v>
      </c>
      <c r="F894" s="12">
        <v>1.07902092243709</v>
      </c>
    </row>
    <row r="895" spans="1:6">
      <c r="A895" s="13">
        <v>928</v>
      </c>
      <c r="B895" s="12">
        <v>2021</v>
      </c>
      <c r="C895" s="12">
        <v>19</v>
      </c>
      <c r="D895" s="12">
        <v>1.02310721200394</v>
      </c>
      <c r="E895" s="12">
        <v>0.959694266030572</v>
      </c>
      <c r="F895" s="12">
        <v>1.0660761955322</v>
      </c>
    </row>
    <row r="896" spans="1:6">
      <c r="A896" s="13">
        <v>929</v>
      </c>
      <c r="B896" s="12">
        <v>2021</v>
      </c>
      <c r="C896" s="12">
        <v>20</v>
      </c>
      <c r="D896" s="12">
        <v>0.997504463659096</v>
      </c>
      <c r="E896" s="12">
        <v>1.0000150804524</v>
      </c>
      <c r="F896" s="12">
        <v>0.997489421067361</v>
      </c>
    </row>
    <row r="897" spans="1:6">
      <c r="A897" s="13">
        <v>930</v>
      </c>
      <c r="B897" s="12">
        <v>2021</v>
      </c>
      <c r="C897" s="12">
        <v>21</v>
      </c>
      <c r="D897" s="12">
        <v>0.994912046046724</v>
      </c>
      <c r="E897" s="12">
        <v>0.999990303983996</v>
      </c>
      <c r="F897" s="12">
        <v>0.99492169282338</v>
      </c>
    </row>
    <row r="898" spans="1:6">
      <c r="A898" s="13">
        <v>931</v>
      </c>
      <c r="B898" s="12">
        <v>2021</v>
      </c>
      <c r="C898" s="12">
        <v>22</v>
      </c>
      <c r="D898" s="12">
        <v>0.956275421408514</v>
      </c>
      <c r="E898" s="12">
        <v>0.97625133074625</v>
      </c>
      <c r="F898" s="12">
        <v>0.979538148928856</v>
      </c>
    </row>
    <row r="899" spans="1:6">
      <c r="A899" s="13">
        <v>932</v>
      </c>
      <c r="B899" s="12">
        <v>2021</v>
      </c>
      <c r="C899" s="12">
        <v>23</v>
      </c>
      <c r="D899" s="12">
        <v>1.01147052355194</v>
      </c>
      <c r="E899" s="12">
        <v>0.96555422539792</v>
      </c>
      <c r="F899" s="12">
        <v>1.04755434438195</v>
      </c>
    </row>
    <row r="900" spans="1:6">
      <c r="A900" s="13">
        <v>933</v>
      </c>
      <c r="B900" s="12">
        <v>2021</v>
      </c>
      <c r="C900" s="12">
        <v>24</v>
      </c>
      <c r="D900" s="12">
        <v>1.00724219776054</v>
      </c>
      <c r="E900" s="12">
        <v>0.995190522992274</v>
      </c>
      <c r="F900" s="12">
        <v>1.0121099171363</v>
      </c>
    </row>
    <row r="901" spans="1:6">
      <c r="A901" s="13">
        <v>934</v>
      </c>
      <c r="B901" s="12">
        <v>2021</v>
      </c>
      <c r="C901" s="12">
        <v>25</v>
      </c>
      <c r="D901" s="12">
        <v>1.09452882500999</v>
      </c>
      <c r="E901" s="12">
        <v>1.02301616376173</v>
      </c>
      <c r="F901" s="12">
        <v>1.06990374520115</v>
      </c>
    </row>
    <row r="902" spans="1:6">
      <c r="A902" s="13">
        <v>935</v>
      </c>
      <c r="B902" s="12">
        <v>2021</v>
      </c>
      <c r="C902" s="12">
        <v>26</v>
      </c>
      <c r="D902" s="12">
        <v>0.926250689218938</v>
      </c>
      <c r="E902" s="12">
        <v>0.938267066860989</v>
      </c>
      <c r="F902" s="12">
        <v>0.987193009254548</v>
      </c>
    </row>
    <row r="903" spans="1:6">
      <c r="A903" s="13">
        <v>936</v>
      </c>
      <c r="B903" s="12">
        <v>2021</v>
      </c>
      <c r="C903" s="12">
        <v>27</v>
      </c>
      <c r="D903" s="12">
        <v>1.00401739600703</v>
      </c>
      <c r="E903" s="12">
        <v>0.994614391851375</v>
      </c>
      <c r="F903" s="12">
        <v>1.00945391926026</v>
      </c>
    </row>
    <row r="904" spans="1:6">
      <c r="A904" s="13">
        <v>937</v>
      </c>
      <c r="B904" s="12">
        <v>2021</v>
      </c>
      <c r="C904" s="12">
        <v>28</v>
      </c>
      <c r="D904" s="12">
        <v>0.99529996032992</v>
      </c>
      <c r="E904" s="12">
        <v>0.991540140252905</v>
      </c>
      <c r="F904" s="12">
        <v>1.00379189901082</v>
      </c>
    </row>
    <row r="905" spans="1:6">
      <c r="A905" s="13">
        <v>938</v>
      </c>
      <c r="B905" s="12">
        <v>2021</v>
      </c>
      <c r="C905" s="12">
        <v>29</v>
      </c>
      <c r="D905" s="12">
        <v>0.999371374224633</v>
      </c>
      <c r="E905" s="12">
        <v>1.00550293723761</v>
      </c>
      <c r="F905" s="12">
        <v>0.99390199393169</v>
      </c>
    </row>
    <row r="906" spans="1:6">
      <c r="A906" s="13">
        <v>939</v>
      </c>
      <c r="B906" s="12">
        <v>2021</v>
      </c>
      <c r="C906" s="12">
        <v>30</v>
      </c>
      <c r="D906" s="12">
        <v>0.969063351571821</v>
      </c>
      <c r="E906" s="12">
        <v>0.968590331309919</v>
      </c>
      <c r="F906" s="12">
        <v>1.00048835947109</v>
      </c>
    </row>
    <row r="907" spans="1:6">
      <c r="A907" s="13">
        <v>940</v>
      </c>
      <c r="B907" s="12">
        <v>2021</v>
      </c>
      <c r="C907" s="12">
        <v>31</v>
      </c>
      <c r="D907" s="12">
        <v>1.01227563584565</v>
      </c>
      <c r="E907" s="12">
        <v>0.943013581657919</v>
      </c>
      <c r="F907" s="12">
        <v>1.07344756802544</v>
      </c>
    </row>
    <row r="908" spans="1:6">
      <c r="A908" s="13">
        <v>941</v>
      </c>
      <c r="B908" s="12">
        <v>2021</v>
      </c>
      <c r="C908" s="12">
        <v>32</v>
      </c>
      <c r="D908" s="12">
        <v>1.01413250628232</v>
      </c>
      <c r="E908" s="12">
        <v>1.00002267531319</v>
      </c>
      <c r="F908" s="12">
        <v>1.01410951103155</v>
      </c>
    </row>
    <row r="909" spans="1:6">
      <c r="A909" s="13">
        <v>942</v>
      </c>
      <c r="B909" s="12">
        <v>2021</v>
      </c>
      <c r="C909" s="12">
        <v>33</v>
      </c>
      <c r="D909" s="12">
        <v>0.982866302537243</v>
      </c>
      <c r="E909" s="12">
        <v>0.959882828209401</v>
      </c>
      <c r="F909" s="12">
        <v>1.02394404155632</v>
      </c>
    </row>
    <row r="910" spans="1:6">
      <c r="A910" s="13">
        <v>943</v>
      </c>
      <c r="B910" s="12">
        <v>2021</v>
      </c>
      <c r="C910" s="12">
        <v>34</v>
      </c>
      <c r="D910" s="12">
        <v>1.01776775451798</v>
      </c>
      <c r="E910" s="12">
        <v>1.00026464903708</v>
      </c>
      <c r="F910" s="12">
        <v>1.01749847452646</v>
      </c>
    </row>
    <row r="911" spans="1:6">
      <c r="A911" s="13">
        <v>944</v>
      </c>
      <c r="B911" s="12">
        <v>2021</v>
      </c>
      <c r="C911" s="12">
        <v>35</v>
      </c>
      <c r="D911" s="12">
        <v>1.01765070145379</v>
      </c>
      <c r="E911" s="12">
        <v>1.00053162099587</v>
      </c>
      <c r="F911" s="12">
        <v>1.01710998443096</v>
      </c>
    </row>
    <row r="912" spans="1:6">
      <c r="A912" s="13">
        <v>945</v>
      </c>
      <c r="B912" s="12">
        <v>2022</v>
      </c>
      <c r="C912" s="12">
        <v>1</v>
      </c>
      <c r="D912" s="12">
        <v>0.99545025089957</v>
      </c>
      <c r="E912" s="12">
        <v>0.989074131420771</v>
      </c>
      <c r="F912" s="12">
        <v>1.00644655367706</v>
      </c>
    </row>
    <row r="913" spans="1:6">
      <c r="A913" s="13">
        <v>946</v>
      </c>
      <c r="B913" s="12">
        <v>2022</v>
      </c>
      <c r="C913" s="12">
        <v>2</v>
      </c>
      <c r="D913" s="12">
        <v>1.0080768569432</v>
      </c>
      <c r="E913" s="12">
        <v>1.00306942969594</v>
      </c>
      <c r="F913" s="12">
        <v>1.00499210433396</v>
      </c>
    </row>
    <row r="914" spans="1:6">
      <c r="A914" s="13">
        <v>947</v>
      </c>
      <c r="B914" s="12">
        <v>2022</v>
      </c>
      <c r="C914" s="12">
        <v>3</v>
      </c>
      <c r="D914" s="12">
        <v>0.978336721165089</v>
      </c>
      <c r="E914" s="12">
        <v>0.959716534510404</v>
      </c>
      <c r="F914" s="12">
        <v>1.0194017566491</v>
      </c>
    </row>
    <row r="915" spans="1:6">
      <c r="A915" s="13">
        <v>948</v>
      </c>
      <c r="B915" s="12">
        <v>2022</v>
      </c>
      <c r="C915" s="12">
        <v>4</v>
      </c>
      <c r="D915" s="12">
        <v>0.989692957284685</v>
      </c>
      <c r="E915" s="12">
        <v>0.977406413101868</v>
      </c>
      <c r="F915" s="12">
        <v>1.01257055818145</v>
      </c>
    </row>
    <row r="916" spans="1:6">
      <c r="A916" s="13">
        <v>949</v>
      </c>
      <c r="B916" s="12">
        <v>2022</v>
      </c>
      <c r="C916" s="12">
        <v>5</v>
      </c>
      <c r="D916" s="12">
        <v>0.988954121229464</v>
      </c>
      <c r="E916" s="12">
        <v>0.98441595479468</v>
      </c>
      <c r="F916" s="12">
        <v>1.00461000902381</v>
      </c>
    </row>
    <row r="917" spans="1:6">
      <c r="A917" s="13">
        <v>950</v>
      </c>
      <c r="B917" s="12">
        <v>2022</v>
      </c>
      <c r="C917" s="12">
        <v>6</v>
      </c>
      <c r="D917" s="12">
        <v>1.00530831192094</v>
      </c>
      <c r="E917" s="12">
        <v>1.00078333380264</v>
      </c>
      <c r="F917" s="12">
        <v>1.0045214363244</v>
      </c>
    </row>
    <row r="918" spans="1:6">
      <c r="A918" s="13">
        <v>951</v>
      </c>
      <c r="B918" s="12">
        <v>2022</v>
      </c>
      <c r="C918" s="12">
        <v>7</v>
      </c>
      <c r="D918" s="12">
        <v>0.997175342227835</v>
      </c>
      <c r="E918" s="12">
        <v>0.993970439671003</v>
      </c>
      <c r="F918" s="12">
        <v>1.0032243439331</v>
      </c>
    </row>
    <row r="919" spans="1:6">
      <c r="A919" s="13">
        <v>952</v>
      </c>
      <c r="B919" s="12">
        <v>2022</v>
      </c>
      <c r="C919" s="12">
        <v>8</v>
      </c>
      <c r="D919" s="12">
        <v>1.00033611059944</v>
      </c>
      <c r="E919" s="12">
        <v>0.992374275555743</v>
      </c>
      <c r="F919" s="12">
        <v>1.00802301635564</v>
      </c>
    </row>
    <row r="920" spans="1:6">
      <c r="A920" s="13">
        <v>953</v>
      </c>
      <c r="B920" s="12">
        <v>2022</v>
      </c>
      <c r="C920" s="12">
        <v>9</v>
      </c>
      <c r="D920" s="12">
        <v>0.991664688159403</v>
      </c>
      <c r="E920" s="12">
        <v>0.985926841446818</v>
      </c>
      <c r="F920" s="12">
        <v>1.00581974896247</v>
      </c>
    </row>
    <row r="921" spans="1:6">
      <c r="A921" s="13">
        <v>954</v>
      </c>
      <c r="B921" s="12">
        <v>2022</v>
      </c>
      <c r="C921" s="12">
        <v>10</v>
      </c>
      <c r="D921" s="12">
        <v>0.984468227457346</v>
      </c>
      <c r="E921" s="12">
        <v>0.901170113031639</v>
      </c>
      <c r="F921" s="12">
        <v>1.09243328559298</v>
      </c>
    </row>
    <row r="922" spans="1:6">
      <c r="A922" s="13">
        <v>955</v>
      </c>
      <c r="B922" s="12">
        <v>2022</v>
      </c>
      <c r="C922" s="12">
        <v>11</v>
      </c>
      <c r="D922" s="12">
        <v>0.976842205243527</v>
      </c>
      <c r="E922" s="12">
        <v>0.979088374258342</v>
      </c>
      <c r="F922" s="12">
        <v>0.997705856719505</v>
      </c>
    </row>
    <row r="923" spans="1:6">
      <c r="A923" s="13">
        <v>956</v>
      </c>
      <c r="B923" s="12">
        <v>2022</v>
      </c>
      <c r="C923" s="12">
        <v>12</v>
      </c>
      <c r="D923" s="12">
        <v>0.976284737555916</v>
      </c>
      <c r="E923" s="12">
        <v>0.938508749189368</v>
      </c>
      <c r="F923" s="12">
        <v>1.04025107746643</v>
      </c>
    </row>
    <row r="924" spans="1:6">
      <c r="A924" s="13">
        <v>957</v>
      </c>
      <c r="B924" s="12">
        <v>2022</v>
      </c>
      <c r="C924" s="12">
        <v>13</v>
      </c>
      <c r="D924" s="12">
        <v>1.00724508160198</v>
      </c>
      <c r="E924" s="12">
        <v>1.00478647590444</v>
      </c>
      <c r="F924" s="12">
        <v>1.00244689369981</v>
      </c>
    </row>
    <row r="925" spans="1:6">
      <c r="A925" s="13">
        <v>958</v>
      </c>
      <c r="B925" s="12">
        <v>2022</v>
      </c>
      <c r="C925" s="12">
        <v>14</v>
      </c>
      <c r="D925" s="12">
        <v>1.00220970084819</v>
      </c>
      <c r="E925" s="12">
        <v>0.999699466781955</v>
      </c>
      <c r="F925" s="12">
        <v>1.00251098870176</v>
      </c>
    </row>
    <row r="926" spans="1:6">
      <c r="A926" s="13">
        <v>959</v>
      </c>
      <c r="B926" s="12">
        <v>2022</v>
      </c>
      <c r="C926" s="12">
        <v>15</v>
      </c>
      <c r="D926" s="12">
        <v>1.0002067532483</v>
      </c>
      <c r="E926" s="12">
        <v>0.999760752557607</v>
      </c>
      <c r="F926" s="12">
        <v>1.00044610742075</v>
      </c>
    </row>
    <row r="927" spans="1:6">
      <c r="A927" s="13">
        <v>960</v>
      </c>
      <c r="B927" s="12">
        <v>2022</v>
      </c>
      <c r="C927" s="12">
        <v>16</v>
      </c>
      <c r="D927" s="12">
        <v>0.999625952951836</v>
      </c>
      <c r="E927" s="12">
        <v>0.993241953212322</v>
      </c>
      <c r="F927" s="12">
        <v>1.00642743665717</v>
      </c>
    </row>
    <row r="928" spans="1:6">
      <c r="A928" s="13">
        <v>961</v>
      </c>
      <c r="B928" s="12">
        <v>2022</v>
      </c>
      <c r="C928" s="12">
        <v>17</v>
      </c>
      <c r="D928" s="12">
        <v>0.976719189503755</v>
      </c>
      <c r="E928" s="12">
        <v>0.997896758684529</v>
      </c>
      <c r="F928" s="12">
        <v>0.978777795401709</v>
      </c>
    </row>
    <row r="929" spans="1:6">
      <c r="A929" s="13">
        <v>962</v>
      </c>
      <c r="B929" s="12">
        <v>2022</v>
      </c>
      <c r="C929" s="12">
        <v>18</v>
      </c>
      <c r="D929" s="12">
        <v>0.883214645138822</v>
      </c>
      <c r="E929" s="12">
        <v>0.85566921732364</v>
      </c>
      <c r="F929" s="12">
        <v>1.03219167787914</v>
      </c>
    </row>
    <row r="930" spans="1:6">
      <c r="A930" s="13">
        <v>963</v>
      </c>
      <c r="B930" s="12">
        <v>2022</v>
      </c>
      <c r="C930" s="12">
        <v>19</v>
      </c>
      <c r="D930" s="12">
        <v>0.951481319154189</v>
      </c>
      <c r="E930" s="12">
        <v>0.949640063393402</v>
      </c>
      <c r="F930" s="12">
        <v>1.00193889856985</v>
      </c>
    </row>
    <row r="931" spans="1:6">
      <c r="A931" s="13">
        <v>964</v>
      </c>
      <c r="B931" s="12">
        <v>2022</v>
      </c>
      <c r="C931" s="12">
        <v>20</v>
      </c>
      <c r="D931" s="12">
        <v>1.0025311803571</v>
      </c>
      <c r="E931" s="12">
        <v>1.00000437857217</v>
      </c>
      <c r="F931" s="12">
        <v>1.0025267907212</v>
      </c>
    </row>
    <row r="932" spans="1:6">
      <c r="A932" s="13">
        <v>965</v>
      </c>
      <c r="B932" s="12">
        <v>2022</v>
      </c>
      <c r="C932" s="12">
        <v>21</v>
      </c>
      <c r="D932" s="12">
        <v>1.01897213675084</v>
      </c>
      <c r="E932" s="12">
        <v>1.00015093470468</v>
      </c>
      <c r="F932" s="12">
        <v>1.0188183617023</v>
      </c>
    </row>
    <row r="933" spans="1:6">
      <c r="A933" s="13">
        <v>966</v>
      </c>
      <c r="B933" s="12">
        <v>2022</v>
      </c>
      <c r="C933" s="12">
        <v>22</v>
      </c>
      <c r="D933" s="12">
        <v>0.96322722523356</v>
      </c>
      <c r="E933" s="12">
        <v>0.947702958774538</v>
      </c>
      <c r="F933" s="12">
        <v>1.01638094121717</v>
      </c>
    </row>
    <row r="934" spans="1:6">
      <c r="A934" s="13">
        <v>967</v>
      </c>
      <c r="B934" s="12">
        <v>2022</v>
      </c>
      <c r="C934" s="12">
        <v>23</v>
      </c>
      <c r="D934" s="12">
        <v>0.981087065922371</v>
      </c>
      <c r="E934" s="12">
        <v>0.972152320633907</v>
      </c>
      <c r="F934" s="12">
        <v>1.00919068452425</v>
      </c>
    </row>
    <row r="935" spans="1:6">
      <c r="A935" s="13">
        <v>968</v>
      </c>
      <c r="B935" s="12">
        <v>2022</v>
      </c>
      <c r="C935" s="12">
        <v>24</v>
      </c>
      <c r="D935" s="12">
        <v>0.998728710167011</v>
      </c>
      <c r="E935" s="12">
        <v>0.994105599626002</v>
      </c>
      <c r="F935" s="12">
        <v>1.00465052258306</v>
      </c>
    </row>
    <row r="936" spans="1:6">
      <c r="A936" s="13">
        <v>969</v>
      </c>
      <c r="B936" s="12">
        <v>2022</v>
      </c>
      <c r="C936" s="12">
        <v>25</v>
      </c>
      <c r="D936" s="12">
        <v>1.0815222568751</v>
      </c>
      <c r="E936" s="12">
        <v>1.0790251131301</v>
      </c>
      <c r="F936" s="12">
        <v>1.00231425915358</v>
      </c>
    </row>
    <row r="937" spans="1:6">
      <c r="A937" s="13">
        <v>970</v>
      </c>
      <c r="B937" s="12">
        <v>2022</v>
      </c>
      <c r="C937" s="12">
        <v>26</v>
      </c>
      <c r="D937" s="12">
        <v>0.997076902701579</v>
      </c>
      <c r="E937" s="12">
        <v>0.976602556992112</v>
      </c>
      <c r="F937" s="12">
        <v>1.02096487006191</v>
      </c>
    </row>
    <row r="938" spans="1:6">
      <c r="A938" s="13">
        <v>971</v>
      </c>
      <c r="B938" s="12">
        <v>2022</v>
      </c>
      <c r="C938" s="12">
        <v>27</v>
      </c>
      <c r="D938" s="12">
        <v>1.00414792013079</v>
      </c>
      <c r="E938" s="12">
        <v>1.00216138757477</v>
      </c>
      <c r="F938" s="12">
        <v>1.0019822481495</v>
      </c>
    </row>
    <row r="939" spans="1:6">
      <c r="A939" s="13">
        <v>972</v>
      </c>
      <c r="B939" s="12">
        <v>2022</v>
      </c>
      <c r="C939" s="12">
        <v>28</v>
      </c>
      <c r="D939" s="12">
        <v>1.00177204676499</v>
      </c>
      <c r="E939" s="12">
        <v>0.998989829585351</v>
      </c>
      <c r="F939" s="12">
        <v>1.00278503053509</v>
      </c>
    </row>
    <row r="940" spans="1:6">
      <c r="A940" s="13">
        <v>973</v>
      </c>
      <c r="B940" s="12">
        <v>2022</v>
      </c>
      <c r="C940" s="12">
        <v>29</v>
      </c>
      <c r="D940" s="12">
        <v>1.00227466250716</v>
      </c>
      <c r="E940" s="12">
        <v>0.990612790089274</v>
      </c>
      <c r="F940" s="12">
        <v>1.01177238224113</v>
      </c>
    </row>
    <row r="941" spans="1:6">
      <c r="A941" s="13">
        <v>974</v>
      </c>
      <c r="B941" s="12">
        <v>2022</v>
      </c>
      <c r="C941" s="12">
        <v>30</v>
      </c>
      <c r="D941" s="12">
        <v>0.973315142481805</v>
      </c>
      <c r="E941" s="12">
        <v>0.976430126502897</v>
      </c>
      <c r="F941" s="12">
        <v>0.996809823932566</v>
      </c>
    </row>
    <row r="942" spans="1:6">
      <c r="A942" s="13">
        <v>975</v>
      </c>
      <c r="B942" s="12">
        <v>2022</v>
      </c>
      <c r="C942" s="12">
        <v>31</v>
      </c>
      <c r="D942" s="12">
        <v>0.982878693307258</v>
      </c>
      <c r="E942" s="12">
        <v>0.924012692437958</v>
      </c>
      <c r="F942" s="12">
        <v>1.06370691804458</v>
      </c>
    </row>
    <row r="943" spans="1:6">
      <c r="A943" s="13">
        <v>976</v>
      </c>
      <c r="B943" s="12">
        <v>2022</v>
      </c>
      <c r="C943" s="12">
        <v>32</v>
      </c>
      <c r="D943" s="12">
        <v>1.0061708572201</v>
      </c>
      <c r="E943" s="12">
        <v>1.00001345030577</v>
      </c>
      <c r="F943" s="12">
        <v>1.00615732409644</v>
      </c>
    </row>
    <row r="944" spans="1:6">
      <c r="A944" s="13">
        <v>977</v>
      </c>
      <c r="B944" s="12">
        <v>2022</v>
      </c>
      <c r="C944" s="12">
        <v>33</v>
      </c>
      <c r="D944" s="12">
        <v>1.01153612457837</v>
      </c>
      <c r="E944" s="12">
        <v>0.998066080445744</v>
      </c>
      <c r="F944" s="12">
        <v>1.01349614459055</v>
      </c>
    </row>
    <row r="945" spans="1:6">
      <c r="A945" s="13">
        <v>978</v>
      </c>
      <c r="B945" s="12">
        <v>2022</v>
      </c>
      <c r="C945" s="12">
        <v>34</v>
      </c>
      <c r="D945" s="12">
        <v>0.995730774318259</v>
      </c>
      <c r="E945" s="12">
        <v>0.999823280337309</v>
      </c>
      <c r="F945" s="12">
        <v>0.995906770626836</v>
      </c>
    </row>
    <row r="946" spans="1:6">
      <c r="A946" s="13">
        <v>979</v>
      </c>
      <c r="B946" s="12">
        <v>2022</v>
      </c>
      <c r="C946" s="12">
        <v>35</v>
      </c>
      <c r="D946" s="12">
        <v>0.993136121605256</v>
      </c>
      <c r="E946" s="12">
        <v>1.00067536864296</v>
      </c>
      <c r="F946" s="12">
        <v>0.992465841296835</v>
      </c>
    </row>
    <row r="947" spans="1:6">
      <c r="A947" s="13">
        <v>980</v>
      </c>
      <c r="B947" s="12">
        <v>2023</v>
      </c>
      <c r="C947" s="12">
        <v>1</v>
      </c>
      <c r="D947" s="12">
        <v>0.9944842586827</v>
      </c>
      <c r="E947" s="12">
        <v>0.987333792571034</v>
      </c>
      <c r="F947" s="12">
        <v>1.00724219728471</v>
      </c>
    </row>
    <row r="948" spans="1:6">
      <c r="A948" s="13">
        <v>981</v>
      </c>
      <c r="B948" s="12">
        <v>2023</v>
      </c>
      <c r="C948" s="12">
        <v>2</v>
      </c>
      <c r="D948" s="12">
        <v>1.00524768462174</v>
      </c>
      <c r="E948" s="12">
        <v>1.03856366841825</v>
      </c>
      <c r="F948" s="12">
        <v>0.967921096404952</v>
      </c>
    </row>
    <row r="949" spans="1:6">
      <c r="A949" s="13">
        <v>982</v>
      </c>
      <c r="B949" s="12">
        <v>2023</v>
      </c>
      <c r="C949" s="12">
        <v>3</v>
      </c>
      <c r="D949" s="12">
        <v>1.02014071579031</v>
      </c>
      <c r="E949" s="12">
        <v>1.07321589932172</v>
      </c>
      <c r="F949" s="12">
        <v>0.950545660416551</v>
      </c>
    </row>
    <row r="950" spans="1:6">
      <c r="A950" s="13">
        <v>983</v>
      </c>
      <c r="B950" s="12">
        <v>2023</v>
      </c>
      <c r="C950" s="12">
        <v>4</v>
      </c>
      <c r="D950" s="12">
        <v>1.02692608993729</v>
      </c>
      <c r="E950" s="12">
        <v>1.00058633758348</v>
      </c>
      <c r="F950" s="12">
        <v>1.02632431741715</v>
      </c>
    </row>
    <row r="951" spans="1:6">
      <c r="A951" s="13">
        <v>984</v>
      </c>
      <c r="B951" s="12">
        <v>2023</v>
      </c>
      <c r="C951" s="12">
        <v>5</v>
      </c>
      <c r="D951" s="12">
        <v>1.00493729207048</v>
      </c>
      <c r="E951" s="12">
        <v>1.04524011722971</v>
      </c>
      <c r="F951" s="12">
        <v>0.961441563048648</v>
      </c>
    </row>
    <row r="952" spans="1:6">
      <c r="A952" s="13">
        <v>985</v>
      </c>
      <c r="B952" s="12">
        <v>2023</v>
      </c>
      <c r="C952" s="12">
        <v>6</v>
      </c>
      <c r="D952" s="12">
        <v>1.01959055095962</v>
      </c>
      <c r="E952" s="12">
        <v>1.06857106933366</v>
      </c>
      <c r="F952" s="12">
        <v>0.954162601085026</v>
      </c>
    </row>
    <row r="953" spans="1:6">
      <c r="A953" s="13">
        <v>986</v>
      </c>
      <c r="B953" s="12">
        <v>2023</v>
      </c>
      <c r="C953" s="12">
        <v>7</v>
      </c>
      <c r="D953" s="12">
        <v>0.952951312364229</v>
      </c>
      <c r="E953" s="12">
        <v>1.00042717149016</v>
      </c>
      <c r="F953" s="12">
        <v>0.95254441254808</v>
      </c>
    </row>
    <row r="954" spans="1:6">
      <c r="A954" s="13">
        <v>987</v>
      </c>
      <c r="B954" s="12">
        <v>2023</v>
      </c>
      <c r="C954" s="12">
        <v>8</v>
      </c>
      <c r="D954" s="12">
        <v>0.919848462393299</v>
      </c>
      <c r="E954" s="12">
        <v>1.00583993679447</v>
      </c>
      <c r="F954" s="12">
        <v>0.914507794674348</v>
      </c>
    </row>
    <row r="955" spans="1:6">
      <c r="A955" s="13">
        <v>988</v>
      </c>
      <c r="B955" s="12">
        <v>2023</v>
      </c>
      <c r="C955" s="12">
        <v>9</v>
      </c>
      <c r="D955" s="12">
        <v>1.01356935030967</v>
      </c>
      <c r="E955" s="12">
        <v>1.07811168882363</v>
      </c>
      <c r="F955" s="12">
        <v>0.940133903395127</v>
      </c>
    </row>
    <row r="956" spans="1:6">
      <c r="A956" s="13">
        <v>989</v>
      </c>
      <c r="B956" s="12">
        <v>2023</v>
      </c>
      <c r="C956" s="12">
        <v>10</v>
      </c>
      <c r="D956" s="12">
        <v>1.14689078991141</v>
      </c>
      <c r="E956" s="12">
        <v>1.05283198115061</v>
      </c>
      <c r="F956" s="12">
        <v>1.08933885980363</v>
      </c>
    </row>
    <row r="957" spans="1:6">
      <c r="A957" s="13">
        <v>990</v>
      </c>
      <c r="B957" s="12">
        <v>2023</v>
      </c>
      <c r="C957" s="12">
        <v>11</v>
      </c>
      <c r="D957" s="12">
        <v>1.09757657376283</v>
      </c>
      <c r="E957" s="12">
        <v>0.991862597445841</v>
      </c>
      <c r="F957" s="12">
        <v>1.10658127102404</v>
      </c>
    </row>
    <row r="958" spans="1:6">
      <c r="A958" s="13">
        <v>991</v>
      </c>
      <c r="B958" s="12">
        <v>2023</v>
      </c>
      <c r="C958" s="12">
        <v>12</v>
      </c>
      <c r="D958" s="12">
        <v>1.03660755879713</v>
      </c>
      <c r="E958" s="12">
        <v>1.06566951592048</v>
      </c>
      <c r="F958" s="12">
        <v>0.972728921406516</v>
      </c>
    </row>
    <row r="959" spans="1:6">
      <c r="A959" s="13">
        <v>992</v>
      </c>
      <c r="B959" s="12">
        <v>2023</v>
      </c>
      <c r="C959" s="12">
        <v>13</v>
      </c>
      <c r="D959" s="12">
        <v>1.01234219795462</v>
      </c>
      <c r="E959" s="12">
        <v>1.07621171440641</v>
      </c>
      <c r="F959" s="12">
        <v>0.940653390409321</v>
      </c>
    </row>
    <row r="960" spans="1:6">
      <c r="A960" s="13">
        <v>993</v>
      </c>
      <c r="B960" s="12">
        <v>2023</v>
      </c>
      <c r="C960" s="12">
        <v>14</v>
      </c>
      <c r="D960" s="12">
        <v>1.01950722043715</v>
      </c>
      <c r="E960" s="12">
        <v>1.00043031531489</v>
      </c>
      <c r="F960" s="12">
        <v>1.01906869956879</v>
      </c>
    </row>
    <row r="961" spans="1:6">
      <c r="A961" s="13">
        <v>994</v>
      </c>
      <c r="B961" s="12">
        <v>2023</v>
      </c>
      <c r="C961" s="12">
        <v>15</v>
      </c>
      <c r="D961" s="12">
        <v>0.995725224309124</v>
      </c>
      <c r="E961" s="12">
        <v>0.99989699250122</v>
      </c>
      <c r="F961" s="12">
        <v>0.995827802040228</v>
      </c>
    </row>
    <row r="962" spans="1:6">
      <c r="A962" s="13">
        <v>995</v>
      </c>
      <c r="B962" s="12">
        <v>2023</v>
      </c>
      <c r="C962" s="12">
        <v>16</v>
      </c>
      <c r="D962" s="12">
        <v>0.997566685373527</v>
      </c>
      <c r="E962" s="12">
        <v>1.0318476165776</v>
      </c>
      <c r="F962" s="12">
        <v>0.966777137773721</v>
      </c>
    </row>
    <row r="963" spans="1:6">
      <c r="A963" s="13">
        <v>996</v>
      </c>
      <c r="B963" s="12">
        <v>2023</v>
      </c>
      <c r="C963" s="12">
        <v>17</v>
      </c>
      <c r="D963" s="12">
        <v>1.05417299719742</v>
      </c>
      <c r="E963" s="12">
        <v>0.970815286031393</v>
      </c>
      <c r="F963" s="12">
        <v>1.08586361624649</v>
      </c>
    </row>
    <row r="964" spans="1:6">
      <c r="A964" s="13">
        <v>997</v>
      </c>
      <c r="B964" s="12">
        <v>2023</v>
      </c>
      <c r="C964" s="12">
        <v>18</v>
      </c>
      <c r="D964" s="12">
        <v>1.01722473570935</v>
      </c>
      <c r="E964" s="12">
        <v>0.914373249843007</v>
      </c>
      <c r="F964" s="12">
        <v>1.11248304331301</v>
      </c>
    </row>
    <row r="965" spans="1:6">
      <c r="A965" s="13">
        <v>998</v>
      </c>
      <c r="B965" s="12">
        <v>2023</v>
      </c>
      <c r="C965" s="12">
        <v>19</v>
      </c>
      <c r="D965" s="12">
        <v>1.02070744381763</v>
      </c>
      <c r="E965" s="12">
        <v>0.987746295561733</v>
      </c>
      <c r="F965" s="12">
        <v>1.03337005504754</v>
      </c>
    </row>
    <row r="966" spans="1:6">
      <c r="A966" s="13">
        <v>999</v>
      </c>
      <c r="B966" s="12">
        <v>2023</v>
      </c>
      <c r="C966" s="12">
        <v>20</v>
      </c>
      <c r="D966" s="12">
        <v>0.925621417254085</v>
      </c>
      <c r="E966" s="12">
        <v>1.00012781528096</v>
      </c>
      <c r="F966" s="12">
        <v>0.925503123812287</v>
      </c>
    </row>
    <row r="967" spans="1:6">
      <c r="A967" s="13">
        <v>1000</v>
      </c>
      <c r="B967" s="12">
        <v>2023</v>
      </c>
      <c r="C967" s="12">
        <v>21</v>
      </c>
      <c r="D967" s="12">
        <v>0.999572093193081</v>
      </c>
      <c r="E967" s="12">
        <v>1.00046544679084</v>
      </c>
      <c r="F967" s="12">
        <v>0.999107062017362</v>
      </c>
    </row>
    <row r="968" spans="1:6">
      <c r="A968" s="13">
        <v>1001</v>
      </c>
      <c r="B968" s="12">
        <v>2023</v>
      </c>
      <c r="C968" s="12">
        <v>22</v>
      </c>
      <c r="D968" s="12">
        <v>0.99228672483858</v>
      </c>
      <c r="E968" s="12">
        <v>0.901354429285757</v>
      </c>
      <c r="F968" s="12">
        <v>1.10088406136183</v>
      </c>
    </row>
    <row r="969" spans="1:6">
      <c r="A969" s="13">
        <v>1002</v>
      </c>
      <c r="B969" s="12">
        <v>2023</v>
      </c>
      <c r="C969" s="12">
        <v>23</v>
      </c>
      <c r="D969" s="12">
        <v>1.08863770737183</v>
      </c>
      <c r="E969" s="12">
        <v>1.0876778017256</v>
      </c>
      <c r="F969" s="12">
        <v>1.00088252756902</v>
      </c>
    </row>
    <row r="970" spans="1:6">
      <c r="A970" s="13">
        <v>1003</v>
      </c>
      <c r="B970" s="12">
        <v>2023</v>
      </c>
      <c r="C970" s="12">
        <v>24</v>
      </c>
      <c r="D970" s="12">
        <v>1.00373686403861</v>
      </c>
      <c r="E970" s="12">
        <v>1.06489593222485</v>
      </c>
      <c r="F970" s="12">
        <v>0.942568032860762</v>
      </c>
    </row>
    <row r="971" spans="1:6">
      <c r="A971" s="13">
        <v>1004</v>
      </c>
      <c r="B971" s="12">
        <v>2023</v>
      </c>
      <c r="C971" s="12">
        <v>25</v>
      </c>
      <c r="D971" s="12">
        <v>0.909612277022382</v>
      </c>
      <c r="E971" s="12">
        <v>0.958682540146198</v>
      </c>
      <c r="F971" s="12">
        <v>0.948814898499838</v>
      </c>
    </row>
    <row r="972" spans="1:6">
      <c r="A972" s="13">
        <v>1005</v>
      </c>
      <c r="B972" s="12">
        <v>2023</v>
      </c>
      <c r="C972" s="12">
        <v>26</v>
      </c>
      <c r="D972" s="12">
        <v>1.13860672048488</v>
      </c>
      <c r="E972" s="12">
        <v>1.16884596049002</v>
      </c>
      <c r="F972" s="12">
        <v>0.974128977617836</v>
      </c>
    </row>
    <row r="973" spans="1:6">
      <c r="A973" s="13">
        <v>1006</v>
      </c>
      <c r="B973" s="12">
        <v>2023</v>
      </c>
      <c r="C973" s="12">
        <v>27</v>
      </c>
      <c r="D973" s="12">
        <v>1.00389805515168</v>
      </c>
      <c r="E973" s="12">
        <v>1.04396975353435</v>
      </c>
      <c r="F973" s="12">
        <v>0.961616035093923</v>
      </c>
    </row>
    <row r="974" spans="1:6">
      <c r="A974" s="13">
        <v>1007</v>
      </c>
      <c r="B974" s="12">
        <v>2023</v>
      </c>
      <c r="C974" s="12">
        <v>28</v>
      </c>
      <c r="D974" s="12">
        <v>0.938901495324381</v>
      </c>
      <c r="E974" s="12">
        <v>1.00852053430383</v>
      </c>
      <c r="F974" s="12">
        <v>0.930969140824185</v>
      </c>
    </row>
    <row r="975" spans="1:6">
      <c r="A975" s="13">
        <v>1008</v>
      </c>
      <c r="B975" s="12">
        <v>2023</v>
      </c>
      <c r="C975" s="12">
        <v>29</v>
      </c>
      <c r="D975" s="12">
        <v>0.931641400226468</v>
      </c>
      <c r="E975" s="12">
        <v>1.00493920881605</v>
      </c>
      <c r="F975" s="12">
        <v>0.927062445223985</v>
      </c>
    </row>
    <row r="976" spans="1:6">
      <c r="A976" s="13">
        <v>1009</v>
      </c>
      <c r="B976" s="12">
        <v>2023</v>
      </c>
      <c r="C976" s="12">
        <v>30</v>
      </c>
      <c r="D976" s="12">
        <v>1.06082996873246</v>
      </c>
      <c r="E976" s="12">
        <v>1.00082691619613</v>
      </c>
      <c r="F976" s="12">
        <v>1.05995347603598</v>
      </c>
    </row>
    <row r="977" spans="1:6">
      <c r="A977" s="13">
        <v>1010</v>
      </c>
      <c r="B977" s="12">
        <v>2023</v>
      </c>
      <c r="C977" s="12">
        <v>31</v>
      </c>
      <c r="D977" s="12">
        <v>1.02822110660774</v>
      </c>
      <c r="E977" s="12">
        <v>1.0595604225789</v>
      </c>
      <c r="F977" s="12">
        <v>0.970422341847311</v>
      </c>
    </row>
    <row r="978" spans="1:6">
      <c r="A978" s="13">
        <v>1011</v>
      </c>
      <c r="B978" s="12">
        <v>2023</v>
      </c>
      <c r="C978" s="12">
        <v>32</v>
      </c>
      <c r="D978" s="12">
        <v>0.999716415382839</v>
      </c>
      <c r="E978" s="12">
        <v>0.999881894383455</v>
      </c>
      <c r="F978" s="12">
        <v>0.999834501453076</v>
      </c>
    </row>
    <row r="979" spans="1:6">
      <c r="A979" s="13">
        <v>1012</v>
      </c>
      <c r="B979" s="12">
        <v>2023</v>
      </c>
      <c r="C979" s="12">
        <v>33</v>
      </c>
      <c r="D979" s="12">
        <v>1.04494045040741</v>
      </c>
      <c r="E979" s="12">
        <v>1.0440353762629</v>
      </c>
      <c r="F979" s="12">
        <v>1.00086689988202</v>
      </c>
    </row>
    <row r="980" spans="1:6">
      <c r="A980" s="13">
        <v>1013</v>
      </c>
      <c r="B980" s="12">
        <v>2023</v>
      </c>
      <c r="C980" s="12">
        <v>34</v>
      </c>
      <c r="D980" s="12">
        <v>1.06503295068373</v>
      </c>
      <c r="E980" s="12">
        <v>1.00076145554654</v>
      </c>
      <c r="F980" s="12">
        <v>1.06422259248793</v>
      </c>
    </row>
    <row r="981" spans="1:6">
      <c r="A981" s="13">
        <v>1014</v>
      </c>
      <c r="B981" s="12">
        <v>2023</v>
      </c>
      <c r="C981" s="12">
        <v>35</v>
      </c>
      <c r="D981" s="12">
        <v>1.02840749511592</v>
      </c>
      <c r="E981" s="12">
        <v>0.998692609433517</v>
      </c>
      <c r="F981" s="12">
        <v>1.02975378550088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048576"/>
  <sheetViews>
    <sheetView workbookViewId="0">
      <selection activeCell="C76" sqref="C76"/>
    </sheetView>
  </sheetViews>
  <sheetFormatPr defaultColWidth="8.88888888888889" defaultRowHeight="14.4"/>
  <cols>
    <col min="2" max="2" width="12.8888888888889" style="7"/>
    <col min="3" max="3" width="12.8888888888889"/>
  </cols>
  <sheetData>
    <row r="1" spans="1:59">
      <c r="A1" s="8" t="s">
        <v>0</v>
      </c>
      <c r="B1" s="9" t="s">
        <v>2</v>
      </c>
      <c r="C1" t="s">
        <v>5</v>
      </c>
      <c r="E1" s="8" t="s">
        <v>0</v>
      </c>
      <c r="F1" s="9" t="s">
        <v>2</v>
      </c>
      <c r="G1" t="s">
        <v>6</v>
      </c>
      <c r="I1" s="8" t="s">
        <v>0</v>
      </c>
      <c r="J1" s="9" t="s">
        <v>2</v>
      </c>
      <c r="K1" t="s">
        <v>7</v>
      </c>
      <c r="M1" s="8" t="s">
        <v>0</v>
      </c>
      <c r="N1" s="9" t="s">
        <v>2</v>
      </c>
      <c r="O1" t="s">
        <v>8</v>
      </c>
      <c r="Q1" s="8" t="s">
        <v>0</v>
      </c>
      <c r="R1" s="9" t="s">
        <v>2</v>
      </c>
      <c r="S1" t="s">
        <v>9</v>
      </c>
      <c r="U1" s="8" t="s">
        <v>0</v>
      </c>
      <c r="V1" s="9" t="s">
        <v>2</v>
      </c>
      <c r="W1" t="s">
        <v>10</v>
      </c>
      <c r="Y1" s="8" t="s">
        <v>0</v>
      </c>
      <c r="Z1" s="9" t="s">
        <v>2</v>
      </c>
      <c r="AA1" t="s">
        <v>11</v>
      </c>
      <c r="AC1" s="8" t="s">
        <v>0</v>
      </c>
      <c r="AD1" s="9" t="s">
        <v>2</v>
      </c>
      <c r="AE1" t="s">
        <v>12</v>
      </c>
      <c r="AG1" s="8" t="s">
        <v>0</v>
      </c>
      <c r="AH1" s="9" t="s">
        <v>2</v>
      </c>
      <c r="AI1" t="s">
        <v>13</v>
      </c>
      <c r="AK1" s="8" t="s">
        <v>0</v>
      </c>
      <c r="AL1" s="9" t="s">
        <v>2</v>
      </c>
      <c r="AM1" t="s">
        <v>14</v>
      </c>
      <c r="AO1" s="8" t="s">
        <v>0</v>
      </c>
      <c r="AP1" s="9" t="s">
        <v>2</v>
      </c>
      <c r="AQ1" t="s">
        <v>15</v>
      </c>
      <c r="AS1" s="8" t="s">
        <v>0</v>
      </c>
      <c r="AT1" s="9" t="s">
        <v>2</v>
      </c>
      <c r="AU1" t="s">
        <v>16</v>
      </c>
      <c r="AW1" s="8" t="s">
        <v>0</v>
      </c>
      <c r="AX1" s="9" t="s">
        <v>2</v>
      </c>
      <c r="AY1" t="s">
        <v>17</v>
      </c>
      <c r="BA1" s="8" t="s">
        <v>0</v>
      </c>
      <c r="BB1" s="9" t="s">
        <v>2</v>
      </c>
      <c r="BC1" t="s">
        <v>18</v>
      </c>
      <c r="BE1" s="8" t="s">
        <v>0</v>
      </c>
      <c r="BF1" s="9" t="s">
        <v>2</v>
      </c>
      <c r="BG1" t="s">
        <v>19</v>
      </c>
    </row>
    <row r="2" spans="1:59">
      <c r="A2" s="10">
        <v>1995</v>
      </c>
      <c r="B2" s="11">
        <v>1</v>
      </c>
      <c r="C2">
        <f>B2</f>
        <v>1</v>
      </c>
      <c r="E2" s="10">
        <v>1995</v>
      </c>
      <c r="F2" s="11">
        <v>1</v>
      </c>
      <c r="G2">
        <f>F2</f>
        <v>1</v>
      </c>
      <c r="I2" s="10">
        <v>1995</v>
      </c>
      <c r="J2" s="11">
        <v>1</v>
      </c>
      <c r="K2">
        <f>J2</f>
        <v>1</v>
      </c>
      <c r="M2" s="10">
        <v>1995</v>
      </c>
      <c r="N2" s="11">
        <v>1</v>
      </c>
      <c r="O2">
        <f>N2</f>
        <v>1</v>
      </c>
      <c r="Q2" s="10">
        <v>1995</v>
      </c>
      <c r="R2" s="11">
        <v>1</v>
      </c>
      <c r="S2">
        <f>R2</f>
        <v>1</v>
      </c>
      <c r="U2" s="10">
        <v>1995</v>
      </c>
      <c r="V2" s="11">
        <v>1</v>
      </c>
      <c r="W2">
        <f>V2</f>
        <v>1</v>
      </c>
      <c r="Y2" s="10">
        <v>1995</v>
      </c>
      <c r="Z2" s="11">
        <v>1</v>
      </c>
      <c r="AA2">
        <f>Z2</f>
        <v>1</v>
      </c>
      <c r="AC2" s="10">
        <v>1995</v>
      </c>
      <c r="AD2" s="11">
        <v>1</v>
      </c>
      <c r="AE2">
        <f>AD2</f>
        <v>1</v>
      </c>
      <c r="AG2" s="10">
        <v>1995</v>
      </c>
      <c r="AH2" s="11">
        <v>1</v>
      </c>
      <c r="AI2">
        <f>AH2</f>
        <v>1</v>
      </c>
      <c r="AK2" s="10">
        <v>1995</v>
      </c>
      <c r="AL2" s="11">
        <v>1</v>
      </c>
      <c r="AM2">
        <f>AL2</f>
        <v>1</v>
      </c>
      <c r="AO2" s="10">
        <v>1995</v>
      </c>
      <c r="AP2" s="11">
        <v>1</v>
      </c>
      <c r="AQ2">
        <f>AP2</f>
        <v>1</v>
      </c>
      <c r="AS2" s="10">
        <v>1995</v>
      </c>
      <c r="AT2" s="11">
        <v>1</v>
      </c>
      <c r="AU2">
        <f>AT2</f>
        <v>1</v>
      </c>
      <c r="AW2" s="10">
        <v>1995</v>
      </c>
      <c r="AX2" s="11">
        <v>1</v>
      </c>
      <c r="AY2">
        <f>AX2</f>
        <v>1</v>
      </c>
      <c r="BA2" s="10">
        <v>1995</v>
      </c>
      <c r="BB2" s="11">
        <v>1</v>
      </c>
      <c r="BC2">
        <f>BB2</f>
        <v>1</v>
      </c>
      <c r="BE2" s="10">
        <v>1995</v>
      </c>
      <c r="BF2" s="11">
        <v>1</v>
      </c>
      <c r="BG2">
        <f>BF2</f>
        <v>1</v>
      </c>
    </row>
    <row r="3" spans="1:59">
      <c r="A3">
        <v>1996</v>
      </c>
      <c r="B3" s="12">
        <v>1.00058237965236</v>
      </c>
      <c r="C3">
        <f>C2*B3</f>
        <v>1.00058237965236</v>
      </c>
      <c r="E3">
        <v>1996</v>
      </c>
      <c r="F3" s="12">
        <v>0.998758367414738</v>
      </c>
      <c r="G3">
        <f t="shared" ref="G3:G30" si="0">G2*F3</f>
        <v>0.998758367414738</v>
      </c>
      <c r="I3">
        <v>1996</v>
      </c>
      <c r="J3" s="12">
        <v>0.989291717572998</v>
      </c>
      <c r="K3">
        <f t="shared" ref="K3:K30" si="1">K2*J3</f>
        <v>0.989291717572998</v>
      </c>
      <c r="M3">
        <v>1996</v>
      </c>
      <c r="N3" s="12">
        <v>1.02279202870709</v>
      </c>
      <c r="O3">
        <f t="shared" ref="O3:O30" si="2">O2*N3</f>
        <v>1.02279202870709</v>
      </c>
      <c r="Q3">
        <v>1996</v>
      </c>
      <c r="R3" s="12">
        <v>0.994478463617686</v>
      </c>
      <c r="S3">
        <f t="shared" ref="S3:S30" si="3">S2*R3</f>
        <v>0.994478463617686</v>
      </c>
      <c r="U3">
        <v>1996</v>
      </c>
      <c r="V3" s="12">
        <v>0.990452509284307</v>
      </c>
      <c r="W3">
        <f t="shared" ref="W3:W30" si="4">W2*V3</f>
        <v>0.990452509284307</v>
      </c>
      <c r="Y3">
        <v>1996</v>
      </c>
      <c r="Z3" s="12">
        <v>0.991148696361809</v>
      </c>
      <c r="AA3">
        <f t="shared" ref="AA3:AA30" si="5">AA2*Z3</f>
        <v>0.991148696361809</v>
      </c>
      <c r="AC3">
        <v>1996</v>
      </c>
      <c r="AD3" s="12">
        <v>0.998102576694588</v>
      </c>
      <c r="AE3">
        <f t="shared" ref="AE3:AE30" si="6">AE2*AD3</f>
        <v>0.998102576694588</v>
      </c>
      <c r="AG3">
        <v>1996</v>
      </c>
      <c r="AH3" s="12">
        <v>0.998066938750119</v>
      </c>
      <c r="AI3">
        <f t="shared" ref="AI3:AI30" si="7">AI2*AH3</f>
        <v>0.998066938750119</v>
      </c>
      <c r="AK3">
        <v>1996</v>
      </c>
      <c r="AL3" s="12">
        <v>1.02452330994087</v>
      </c>
      <c r="AM3">
        <f t="shared" ref="AM3:AM30" si="8">AM2*AL3</f>
        <v>1.02452330994087</v>
      </c>
      <c r="AO3">
        <v>1996</v>
      </c>
      <c r="AP3" s="12">
        <v>1.01679294034501</v>
      </c>
      <c r="AQ3">
        <f t="shared" ref="AQ3:AQ30" si="9">AQ2*AP3</f>
        <v>1.01679294034501</v>
      </c>
      <c r="AS3">
        <v>1996</v>
      </c>
      <c r="AT3" s="12">
        <v>0.99776409571471</v>
      </c>
      <c r="AU3">
        <f t="shared" ref="AU3:AU30" si="10">AU2*AT3</f>
        <v>0.99776409571471</v>
      </c>
      <c r="AW3">
        <v>1996</v>
      </c>
      <c r="AX3" s="12">
        <v>0.995251965719268</v>
      </c>
      <c r="AY3">
        <f t="shared" ref="AY3:AY30" si="11">AY2*AX3</f>
        <v>0.995251965719268</v>
      </c>
      <c r="BA3">
        <v>1996</v>
      </c>
      <c r="BB3" s="12">
        <v>0.99972687818417</v>
      </c>
      <c r="BC3">
        <f t="shared" ref="BC3:BC30" si="12">BC2*BB3</f>
        <v>0.99972687818417</v>
      </c>
      <c r="BE3">
        <v>1996</v>
      </c>
      <c r="BF3" s="12">
        <v>0.995858615541612</v>
      </c>
      <c r="BG3">
        <f t="shared" ref="BG3:BG30" si="13">BG2*BF3</f>
        <v>0.995858615541612</v>
      </c>
    </row>
    <row r="4" spans="1:59">
      <c r="A4">
        <v>1997</v>
      </c>
      <c r="B4" s="12">
        <v>0.998708831705849</v>
      </c>
      <c r="C4">
        <f>C3*B4</f>
        <v>0.999290459408065</v>
      </c>
      <c r="E4">
        <v>1997</v>
      </c>
      <c r="F4" s="12">
        <v>0.98966054380697</v>
      </c>
      <c r="G4">
        <f t="shared" si="0"/>
        <v>0.988431749027432</v>
      </c>
      <c r="I4">
        <v>1997</v>
      </c>
      <c r="J4" s="12">
        <v>0.982523140309568</v>
      </c>
      <c r="K4">
        <f t="shared" si="1"/>
        <v>0.972002005032068</v>
      </c>
      <c r="M4">
        <v>1997</v>
      </c>
      <c r="N4" s="12">
        <v>0.913868116249336</v>
      </c>
      <c r="O4">
        <f t="shared" si="2"/>
        <v>0.934697024589388</v>
      </c>
      <c r="Q4">
        <v>1997</v>
      </c>
      <c r="R4" s="12">
        <v>0.986000155161032</v>
      </c>
      <c r="S4">
        <f t="shared" si="3"/>
        <v>0.980555919431343</v>
      </c>
      <c r="U4">
        <v>1997</v>
      </c>
      <c r="V4" s="12">
        <v>1.01232368992508</v>
      </c>
      <c r="W4">
        <f t="shared" si="4"/>
        <v>1.00265853889424</v>
      </c>
      <c r="Y4">
        <v>1997</v>
      </c>
      <c r="Z4" s="12">
        <v>1.00069988518631</v>
      </c>
      <c r="AA4">
        <f t="shared" si="5"/>
        <v>0.991842386651821</v>
      </c>
      <c r="AC4">
        <v>1997</v>
      </c>
      <c r="AD4" s="12">
        <v>0.998888146842471</v>
      </c>
      <c r="AE4">
        <f t="shared" si="6"/>
        <v>0.996992833193153</v>
      </c>
      <c r="AG4">
        <v>1997</v>
      </c>
      <c r="AH4" s="12">
        <v>0.991385915791681</v>
      </c>
      <c r="AI4">
        <f t="shared" si="7"/>
        <v>0.989469506094187</v>
      </c>
      <c r="AK4">
        <v>1997</v>
      </c>
      <c r="AL4" s="12">
        <v>0.990933003489337</v>
      </c>
      <c r="AM4">
        <f t="shared" si="8"/>
        <v>1.01523396066454</v>
      </c>
      <c r="AO4">
        <v>1997</v>
      </c>
      <c r="AP4" s="12">
        <v>0.960359144411557</v>
      </c>
      <c r="AQ4">
        <f t="shared" si="9"/>
        <v>0.976486398233449</v>
      </c>
      <c r="AS4">
        <v>1997</v>
      </c>
      <c r="AT4" s="12">
        <v>0.995591860262972</v>
      </c>
      <c r="AU4">
        <f t="shared" si="10"/>
        <v>0.99336581215621</v>
      </c>
      <c r="AW4">
        <v>1997</v>
      </c>
      <c r="AX4" s="12">
        <v>1.00001508563587</v>
      </c>
      <c r="AY4">
        <f t="shared" si="11"/>
        <v>0.995266979728021</v>
      </c>
      <c r="BA4">
        <v>1997</v>
      </c>
      <c r="BB4" s="12">
        <v>0.999999959948518</v>
      </c>
      <c r="BC4">
        <f t="shared" si="12"/>
        <v>0.999726838143628</v>
      </c>
      <c r="BE4">
        <v>1997</v>
      </c>
      <c r="BF4" s="12">
        <v>0.998324855598869</v>
      </c>
      <c r="BG4">
        <f t="shared" si="13"/>
        <v>0.99419040855747</v>
      </c>
    </row>
    <row r="5" spans="1:59">
      <c r="A5">
        <v>1998</v>
      </c>
      <c r="B5" s="12">
        <v>0.984967501549618</v>
      </c>
      <c r="C5">
        <f t="shared" ref="C5:C30" si="14">C4*B5</f>
        <v>0.984268627125531</v>
      </c>
      <c r="E5">
        <v>1998</v>
      </c>
      <c r="F5" s="12">
        <v>0.999836990091741</v>
      </c>
      <c r="G5">
        <f t="shared" si="0"/>
        <v>0.988270624858703</v>
      </c>
      <c r="I5">
        <v>1998</v>
      </c>
      <c r="J5" s="12">
        <v>0.998675749682492</v>
      </c>
      <c r="K5">
        <f t="shared" si="1"/>
        <v>0.970714831068285</v>
      </c>
      <c r="M5">
        <v>1998</v>
      </c>
      <c r="N5" s="12">
        <v>0.999698621508415</v>
      </c>
      <c r="O5">
        <f t="shared" si="2"/>
        <v>0.934415327010028</v>
      </c>
      <c r="Q5">
        <v>1998</v>
      </c>
      <c r="R5" s="12">
        <v>0.999077092734428</v>
      </c>
      <c r="S5">
        <f t="shared" si="3"/>
        <v>0.979650957249001</v>
      </c>
      <c r="U5">
        <v>1998</v>
      </c>
      <c r="V5" s="12">
        <v>1.0065009049778</v>
      </c>
      <c r="W5">
        <f t="shared" si="4"/>
        <v>1.00917672678078</v>
      </c>
      <c r="Y5">
        <v>1998</v>
      </c>
      <c r="Z5" s="12">
        <v>1.00257203504262</v>
      </c>
      <c r="AA5">
        <f t="shared" si="5"/>
        <v>0.994393440027049</v>
      </c>
      <c r="AC5">
        <v>1998</v>
      </c>
      <c r="AD5" s="12">
        <v>1.00104475423751</v>
      </c>
      <c r="AE5">
        <f t="shared" si="6"/>
        <v>0.998034445680398</v>
      </c>
      <c r="AG5">
        <v>1998</v>
      </c>
      <c r="AH5" s="12">
        <v>0.995206785973895</v>
      </c>
      <c r="AI5">
        <f t="shared" si="7"/>
        <v>0.984726766979172</v>
      </c>
      <c r="AK5">
        <v>1998</v>
      </c>
      <c r="AL5" s="12">
        <v>0.960901912812163</v>
      </c>
      <c r="AM5">
        <f t="shared" si="8"/>
        <v>0.975540254754427</v>
      </c>
      <c r="AO5">
        <v>1998</v>
      </c>
      <c r="AP5" s="12">
        <v>0.987476667280646</v>
      </c>
      <c r="AQ5">
        <f t="shared" si="9"/>
        <v>0.964257534172448</v>
      </c>
      <c r="AS5">
        <v>1998</v>
      </c>
      <c r="AT5" s="12">
        <v>0.991760725187247</v>
      </c>
      <c r="AU5">
        <f t="shared" si="10"/>
        <v>0.985181198240261</v>
      </c>
      <c r="AW5">
        <v>1998</v>
      </c>
      <c r="AX5" s="12">
        <v>0.995169713635106</v>
      </c>
      <c r="AY5">
        <f t="shared" si="11"/>
        <v>0.990459555206411</v>
      </c>
      <c r="BA5">
        <v>1998</v>
      </c>
      <c r="BB5" s="12">
        <v>0.994933564641859</v>
      </c>
      <c r="BC5">
        <f t="shared" si="12"/>
        <v>0.994661786742375</v>
      </c>
      <c r="BE5">
        <v>1998</v>
      </c>
      <c r="BF5" s="12">
        <v>0.995823222187231</v>
      </c>
      <c r="BG5">
        <f t="shared" si="13"/>
        <v>0.990037896117339</v>
      </c>
    </row>
    <row r="6" spans="1:59">
      <c r="A6">
        <v>1999</v>
      </c>
      <c r="B6" s="12">
        <v>0.985001077701097</v>
      </c>
      <c r="C6">
        <f t="shared" si="14"/>
        <v>0.969505658466027</v>
      </c>
      <c r="E6">
        <v>1999</v>
      </c>
      <c r="F6" s="12">
        <v>0.997151842665836</v>
      </c>
      <c r="G6">
        <f t="shared" si="0"/>
        <v>0.985455874630372</v>
      </c>
      <c r="I6">
        <v>1999</v>
      </c>
      <c r="J6" s="12">
        <v>0.995281466436791</v>
      </c>
      <c r="K6">
        <f t="shared" si="1"/>
        <v>0.966134480557585</v>
      </c>
      <c r="M6">
        <v>1999</v>
      </c>
      <c r="N6" s="12">
        <v>1.01930022909929</v>
      </c>
      <c r="O6">
        <f t="shared" si="2"/>
        <v>0.952449756895208</v>
      </c>
      <c r="Q6">
        <v>1999</v>
      </c>
      <c r="R6" s="12">
        <v>0.99811574552812</v>
      </c>
      <c r="S6">
        <f t="shared" si="3"/>
        <v>0.977805045551923</v>
      </c>
      <c r="U6">
        <v>1999</v>
      </c>
      <c r="V6" s="12">
        <v>1.00802012166477</v>
      </c>
      <c r="W6">
        <f t="shared" si="4"/>
        <v>1.01727044691081</v>
      </c>
      <c r="Y6">
        <v>1999</v>
      </c>
      <c r="Z6" s="12">
        <v>1.00402615959021</v>
      </c>
      <c r="AA6">
        <f t="shared" si="5"/>
        <v>0.998397026712055</v>
      </c>
      <c r="AC6">
        <v>1999</v>
      </c>
      <c r="AD6" s="12">
        <v>1.00195553493654</v>
      </c>
      <c r="AE6">
        <f t="shared" si="6"/>
        <v>0.999986136906794</v>
      </c>
      <c r="AG6">
        <v>1999</v>
      </c>
      <c r="AH6" s="12">
        <v>1.0022276852464</v>
      </c>
      <c r="AI6">
        <f t="shared" si="7"/>
        <v>0.986920428269711</v>
      </c>
      <c r="AK6">
        <v>1999</v>
      </c>
      <c r="AL6" s="12">
        <v>0.97744990058887</v>
      </c>
      <c r="AM6">
        <f t="shared" si="8"/>
        <v>0.953541725030155</v>
      </c>
      <c r="AO6">
        <v>1999</v>
      </c>
      <c r="AP6" s="12">
        <v>1.000816031232</v>
      </c>
      <c r="AQ6">
        <f t="shared" si="9"/>
        <v>0.965044398436029</v>
      </c>
      <c r="AS6">
        <v>1999</v>
      </c>
      <c r="AT6" s="12">
        <v>0.999567546482898</v>
      </c>
      <c r="AU6">
        <f t="shared" si="10"/>
        <v>0.984755153166099</v>
      </c>
      <c r="AW6">
        <v>1999</v>
      </c>
      <c r="AX6" s="12">
        <v>1.00245983592425</v>
      </c>
      <c r="AY6">
        <f t="shared" si="11"/>
        <v>0.992895923201822</v>
      </c>
      <c r="BA6">
        <v>1999</v>
      </c>
      <c r="BB6" s="12">
        <v>0.99745432354503</v>
      </c>
      <c r="BC6">
        <f t="shared" si="12"/>
        <v>0.992129699651207</v>
      </c>
      <c r="BE6">
        <v>1999</v>
      </c>
      <c r="BF6" s="12">
        <v>0.996740895571081</v>
      </c>
      <c r="BG6">
        <f t="shared" si="13"/>
        <v>0.986811259225305</v>
      </c>
    </row>
    <row r="7" spans="1:59">
      <c r="A7">
        <v>2000</v>
      </c>
      <c r="B7" s="12">
        <v>1.00181365796915</v>
      </c>
      <c r="C7">
        <f t="shared" si="14"/>
        <v>0.971264010129636</v>
      </c>
      <c r="E7">
        <v>2000</v>
      </c>
      <c r="F7" s="12">
        <v>0.99567895819747</v>
      </c>
      <c r="G7">
        <f t="shared" si="0"/>
        <v>0.981197678601546</v>
      </c>
      <c r="I7">
        <v>2000</v>
      </c>
      <c r="J7" s="12">
        <v>0.987549643618043</v>
      </c>
      <c r="K7">
        <f t="shared" si="1"/>
        <v>0.954105761961746</v>
      </c>
      <c r="M7">
        <v>2000</v>
      </c>
      <c r="N7" s="12">
        <v>1.01201734836615</v>
      </c>
      <c r="O7">
        <f t="shared" si="2"/>
        <v>0.963895677425071</v>
      </c>
      <c r="Q7">
        <v>2000</v>
      </c>
      <c r="R7" s="12">
        <v>0.992895045556462</v>
      </c>
      <c r="S7">
        <f t="shared" si="3"/>
        <v>0.970857785248614</v>
      </c>
      <c r="U7">
        <v>2000</v>
      </c>
      <c r="V7" s="12">
        <v>0.990034097249111</v>
      </c>
      <c r="W7">
        <f t="shared" si="4"/>
        <v>1.00713242856554</v>
      </c>
      <c r="Y7">
        <v>2000</v>
      </c>
      <c r="Z7" s="12">
        <v>1.00256877709381</v>
      </c>
      <c r="AA7">
        <f t="shared" si="5"/>
        <v>1.00096168612481</v>
      </c>
      <c r="AC7">
        <v>2000</v>
      </c>
      <c r="AD7" s="12">
        <v>0.997879655052655</v>
      </c>
      <c r="AE7">
        <f t="shared" si="6"/>
        <v>0.997865821353988</v>
      </c>
      <c r="AG7">
        <v>2000</v>
      </c>
      <c r="AH7" s="12">
        <v>0.996512813861015</v>
      </c>
      <c r="AI7">
        <f t="shared" si="7"/>
        <v>0.983478853031968</v>
      </c>
      <c r="AK7">
        <v>2000</v>
      </c>
      <c r="AL7" s="12">
        <v>0.947893727413693</v>
      </c>
      <c r="AM7">
        <f t="shared" si="8"/>
        <v>0.903856219983317</v>
      </c>
      <c r="AO7">
        <v>2000</v>
      </c>
      <c r="AP7" s="12">
        <v>0.966987882695005</v>
      </c>
      <c r="AQ7">
        <f t="shared" si="9"/>
        <v>0.93318623955033</v>
      </c>
      <c r="AS7">
        <v>2000</v>
      </c>
      <c r="AT7" s="12">
        <v>0.991177920047847</v>
      </c>
      <c r="AU7">
        <f t="shared" si="10"/>
        <v>0.976067564471572</v>
      </c>
      <c r="AW7">
        <v>2000</v>
      </c>
      <c r="AX7" s="12">
        <v>1.00257982978377</v>
      </c>
      <c r="AY7">
        <f t="shared" si="11"/>
        <v>0.995457425676683</v>
      </c>
      <c r="BA7">
        <v>2000</v>
      </c>
      <c r="BB7" s="12">
        <v>0.999388197054743</v>
      </c>
      <c r="BC7">
        <f t="shared" si="12"/>
        <v>0.991522711778883</v>
      </c>
      <c r="BE7">
        <v>2000</v>
      </c>
      <c r="BF7" s="12">
        <v>0.99720370492742</v>
      </c>
      <c r="BG7">
        <f t="shared" si="13"/>
        <v>0.984051843763567</v>
      </c>
    </row>
    <row r="8" spans="1:59">
      <c r="A8">
        <v>2001</v>
      </c>
      <c r="B8" s="12">
        <v>1.02633142123989</v>
      </c>
      <c r="C8">
        <f t="shared" si="14"/>
        <v>0.9968387719155</v>
      </c>
      <c r="E8">
        <v>2001</v>
      </c>
      <c r="F8" s="12">
        <v>0.997557722240904</v>
      </c>
      <c r="G8">
        <f t="shared" si="0"/>
        <v>0.978801321333821</v>
      </c>
      <c r="I8">
        <v>2001</v>
      </c>
      <c r="J8" s="12">
        <v>1.00846008063883</v>
      </c>
      <c r="K8">
        <f t="shared" si="1"/>
        <v>0.96217757364591</v>
      </c>
      <c r="M8">
        <v>2001</v>
      </c>
      <c r="N8" s="12">
        <v>1.03266261647586</v>
      </c>
      <c r="O8">
        <f t="shared" si="2"/>
        <v>0.995379032259548</v>
      </c>
      <c r="Q8">
        <v>2001</v>
      </c>
      <c r="R8" s="12">
        <v>0.999150981961106</v>
      </c>
      <c r="S8">
        <f t="shared" si="3"/>
        <v>0.970033509475738</v>
      </c>
      <c r="U8">
        <v>2001</v>
      </c>
      <c r="V8" s="12">
        <v>0.995226764523629</v>
      </c>
      <c r="W8">
        <f t="shared" si="4"/>
        <v>1.00232514832811</v>
      </c>
      <c r="Y8">
        <v>2001</v>
      </c>
      <c r="Z8" s="12">
        <v>1.00004975749734</v>
      </c>
      <c r="AA8">
        <f t="shared" si="5"/>
        <v>1.00101149147324</v>
      </c>
      <c r="AC8">
        <v>2001</v>
      </c>
      <c r="AD8" s="12">
        <v>0.99838419191167</v>
      </c>
      <c r="AE8">
        <f t="shared" si="6"/>
        <v>0.996253461688776</v>
      </c>
      <c r="AG8">
        <v>2001</v>
      </c>
      <c r="AH8" s="12">
        <v>0.998628062494692</v>
      </c>
      <c r="AI8">
        <f t="shared" si="7"/>
        <v>0.982129581507816</v>
      </c>
      <c r="AK8">
        <v>2001</v>
      </c>
      <c r="AL8" s="12">
        <v>1.00835407333086</v>
      </c>
      <c r="AM8">
        <f t="shared" si="8"/>
        <v>0.91140710112561</v>
      </c>
      <c r="AO8">
        <v>2001</v>
      </c>
      <c r="AP8" s="12">
        <v>1.03027151705292</v>
      </c>
      <c r="AQ8">
        <f t="shared" si="9"/>
        <v>0.961435202714428</v>
      </c>
      <c r="AS8">
        <v>2001</v>
      </c>
      <c r="AT8" s="12">
        <v>1.00156374444211</v>
      </c>
      <c r="AU8">
        <f t="shared" si="10"/>
        <v>0.977593884700635</v>
      </c>
      <c r="AW8">
        <v>2001</v>
      </c>
      <c r="AX8" s="12">
        <v>0.998671939981948</v>
      </c>
      <c r="AY8">
        <f t="shared" si="11"/>
        <v>0.994135398469969</v>
      </c>
      <c r="BA8">
        <v>2001</v>
      </c>
      <c r="BB8" s="12">
        <v>1.00298816442801</v>
      </c>
      <c r="BC8">
        <f t="shared" si="12"/>
        <v>0.994485544675788</v>
      </c>
      <c r="BE8">
        <v>2001</v>
      </c>
      <c r="BF8" s="12">
        <v>0.996510455214217</v>
      </c>
      <c r="BG8">
        <f t="shared" si="13"/>
        <v>0.980617950783222</v>
      </c>
    </row>
    <row r="9" spans="1:59">
      <c r="A9">
        <v>2002</v>
      </c>
      <c r="B9" s="12">
        <v>0.983088214211067</v>
      </c>
      <c r="C9">
        <f t="shared" si="14"/>
        <v>0.979980448138761</v>
      </c>
      <c r="E9">
        <v>2002</v>
      </c>
      <c r="F9" s="12">
        <v>1.0032818760179</v>
      </c>
      <c r="G9">
        <f t="shared" si="0"/>
        <v>0.982013625916594</v>
      </c>
      <c r="I9">
        <v>2002</v>
      </c>
      <c r="J9" s="12">
        <v>1.02456996613371</v>
      </c>
      <c r="K9">
        <f t="shared" si="1"/>
        <v>0.985818244045007</v>
      </c>
      <c r="M9">
        <v>2002</v>
      </c>
      <c r="N9" s="12">
        <v>0.996947070831239</v>
      </c>
      <c r="O9">
        <f t="shared" si="2"/>
        <v>0.992340210577989</v>
      </c>
      <c r="Q9">
        <v>2002</v>
      </c>
      <c r="R9" s="12">
        <v>0.998050599636498</v>
      </c>
      <c r="S9">
        <f t="shared" si="3"/>
        <v>0.968142525799757</v>
      </c>
      <c r="U9">
        <v>2002</v>
      </c>
      <c r="V9" s="12">
        <v>0.99885473924618</v>
      </c>
      <c r="W9">
        <f t="shared" si="4"/>
        <v>1.00117722467316</v>
      </c>
      <c r="Y9">
        <v>2002</v>
      </c>
      <c r="Z9" s="12">
        <v>1.00201159582182</v>
      </c>
      <c r="AA9">
        <f t="shared" si="5"/>
        <v>1.00302512200708</v>
      </c>
      <c r="AC9">
        <v>2002</v>
      </c>
      <c r="AD9" s="12">
        <v>0.997413828329197</v>
      </c>
      <c r="AE9">
        <f t="shared" si="6"/>
        <v>0.993676979209217</v>
      </c>
      <c r="AG9">
        <v>2002</v>
      </c>
      <c r="AH9" s="12">
        <v>1.00192659354522</v>
      </c>
      <c r="AI9">
        <f t="shared" si="7"/>
        <v>0.98402174602012</v>
      </c>
      <c r="AK9">
        <v>2002</v>
      </c>
      <c r="AL9" s="12">
        <v>1.04175707071058</v>
      </c>
      <c r="AM9">
        <f t="shared" si="8"/>
        <v>0.949464791893438</v>
      </c>
      <c r="AO9">
        <v>2002</v>
      </c>
      <c r="AP9" s="12">
        <v>1.09926746400326</v>
      </c>
      <c r="AQ9">
        <f t="shared" si="9"/>
        <v>1.05687443709135</v>
      </c>
      <c r="AS9">
        <v>2002</v>
      </c>
      <c r="AT9" s="12">
        <v>1.00404512504606</v>
      </c>
      <c r="AU9">
        <f t="shared" si="10"/>
        <v>0.981548374208512</v>
      </c>
      <c r="AW9">
        <v>2002</v>
      </c>
      <c r="AX9" s="12">
        <v>0.998864814279424</v>
      </c>
      <c r="AY9">
        <f t="shared" si="11"/>
        <v>0.993006870161306</v>
      </c>
      <c r="BA9">
        <v>2002</v>
      </c>
      <c r="BB9" s="12">
        <v>0.996940179427581</v>
      </c>
      <c r="BC9">
        <f t="shared" si="12"/>
        <v>0.991442597347216</v>
      </c>
      <c r="BE9">
        <v>2002</v>
      </c>
      <c r="BF9" s="12">
        <v>1.00225394978491</v>
      </c>
      <c r="BG9">
        <f t="shared" si="13"/>
        <v>0.982828214402469</v>
      </c>
    </row>
    <row r="10" spans="1:59">
      <c r="A10">
        <v>2003</v>
      </c>
      <c r="B10" s="12">
        <v>0.985907895135021</v>
      </c>
      <c r="C10">
        <f t="shared" si="14"/>
        <v>0.966170460897961</v>
      </c>
      <c r="E10">
        <v>2003</v>
      </c>
      <c r="F10" s="12">
        <v>1.01258464317175</v>
      </c>
      <c r="G10">
        <f t="shared" si="0"/>
        <v>0.994371916988555</v>
      </c>
      <c r="I10">
        <v>2003</v>
      </c>
      <c r="J10" s="12">
        <v>1.01555993057583</v>
      </c>
      <c r="K10">
        <f t="shared" si="1"/>
        <v>1.00115750748273</v>
      </c>
      <c r="M10">
        <v>2003</v>
      </c>
      <c r="N10" s="12">
        <v>0.993697303528934</v>
      </c>
      <c r="O10">
        <f t="shared" si="2"/>
        <v>0.986085791434683</v>
      </c>
      <c r="Q10">
        <v>2003</v>
      </c>
      <c r="R10" s="12">
        <v>0.999730958630934</v>
      </c>
      <c r="S10">
        <f t="shared" si="3"/>
        <v>0.967882055409165</v>
      </c>
      <c r="U10">
        <v>2003</v>
      </c>
      <c r="V10" s="12">
        <v>0.993482199577145</v>
      </c>
      <c r="W10">
        <f t="shared" si="4"/>
        <v>0.994651751334832</v>
      </c>
      <c r="Y10">
        <v>2003</v>
      </c>
      <c r="Z10" s="12">
        <v>1.00109498735674</v>
      </c>
      <c r="AA10">
        <f t="shared" si="5"/>
        <v>1.00412342183417</v>
      </c>
      <c r="AC10">
        <v>2003</v>
      </c>
      <c r="AD10" s="12">
        <v>0.997165105057703</v>
      </c>
      <c r="AE10">
        <f t="shared" si="6"/>
        <v>0.990860009366579</v>
      </c>
      <c r="AG10">
        <v>2003</v>
      </c>
      <c r="AH10" s="12">
        <v>0.995763913827771</v>
      </c>
      <c r="AI10">
        <f t="shared" si="7"/>
        <v>0.979853345108632</v>
      </c>
      <c r="AK10">
        <v>2003</v>
      </c>
      <c r="AL10" s="12">
        <v>1.06322624168973</v>
      </c>
      <c r="AM10">
        <f t="shared" si="8"/>
        <v>1.00949588230158</v>
      </c>
      <c r="AO10">
        <v>2003</v>
      </c>
      <c r="AP10" s="12">
        <v>1.07186078580141</v>
      </c>
      <c r="AQ10">
        <f t="shared" si="9"/>
        <v>1.13282226463416</v>
      </c>
      <c r="AS10">
        <v>2003</v>
      </c>
      <c r="AT10" s="12">
        <v>0.996531865638436</v>
      </c>
      <c r="AU10">
        <f t="shared" si="10"/>
        <v>0.978144232564383</v>
      </c>
      <c r="AW10">
        <v>2003</v>
      </c>
      <c r="AX10" s="12">
        <v>1.00185456288678</v>
      </c>
      <c r="AY10">
        <f t="shared" si="11"/>
        <v>0.994848463849028</v>
      </c>
      <c r="BA10">
        <v>2003</v>
      </c>
      <c r="BB10" s="12">
        <v>0.994051041927243</v>
      </c>
      <c r="BC10">
        <f t="shared" si="12"/>
        <v>0.985544546904051</v>
      </c>
      <c r="BE10">
        <v>2003</v>
      </c>
      <c r="BF10" s="12">
        <v>1.00751656796491</v>
      </c>
      <c r="BG10">
        <f t="shared" si="13"/>
        <v>0.990215709473854</v>
      </c>
    </row>
    <row r="11" spans="1:59">
      <c r="A11">
        <v>2004</v>
      </c>
      <c r="B11" s="12">
        <v>1.03250064220998</v>
      </c>
      <c r="C11">
        <f t="shared" si="14"/>
        <v>0.997571621361459</v>
      </c>
      <c r="E11">
        <v>2004</v>
      </c>
      <c r="F11" s="12">
        <v>1.0137067870647</v>
      </c>
      <c r="G11">
        <f t="shared" si="0"/>
        <v>1.00800156111784</v>
      </c>
      <c r="I11">
        <v>2004</v>
      </c>
      <c r="J11" s="12">
        <v>1.00383188884608</v>
      </c>
      <c r="K11">
        <f t="shared" si="1"/>
        <v>1.00499383176882</v>
      </c>
      <c r="M11">
        <v>2004</v>
      </c>
      <c r="N11" s="12">
        <v>1.00977382421921</v>
      </c>
      <c r="O11">
        <f t="shared" si="2"/>
        <v>0.995723620625225</v>
      </c>
      <c r="Q11">
        <v>2004</v>
      </c>
      <c r="R11" s="12">
        <v>0.995263836721548</v>
      </c>
      <c r="S11">
        <f t="shared" si="3"/>
        <v>0.963298007960464</v>
      </c>
      <c r="U11">
        <v>2004</v>
      </c>
      <c r="V11" s="12">
        <v>1.00214706647394</v>
      </c>
      <c r="W11">
        <f t="shared" si="4"/>
        <v>0.996787334763367</v>
      </c>
      <c r="Y11">
        <v>2004</v>
      </c>
      <c r="Z11" s="12">
        <v>1.01347686144823</v>
      </c>
      <c r="AA11">
        <f t="shared" si="5"/>
        <v>1.01765585406715</v>
      </c>
      <c r="AC11">
        <v>2004</v>
      </c>
      <c r="AD11" s="12">
        <v>0.999544266976783</v>
      </c>
      <c r="AE11">
        <f t="shared" si="6"/>
        <v>0.990408441738926</v>
      </c>
      <c r="AG11">
        <v>2004</v>
      </c>
      <c r="AH11" s="12">
        <v>1.00776922098472</v>
      </c>
      <c r="AI11">
        <f t="shared" si="7"/>
        <v>0.987466042279394</v>
      </c>
      <c r="AK11">
        <v>2004</v>
      </c>
      <c r="AL11" s="12">
        <v>1.02148035140861</v>
      </c>
      <c r="AM11">
        <f t="shared" si="8"/>
        <v>1.03118020859896</v>
      </c>
      <c r="AO11">
        <v>2004</v>
      </c>
      <c r="AP11" s="12">
        <v>1.06225441989902</v>
      </c>
      <c r="AQ11">
        <f t="shared" si="9"/>
        <v>1.20334545756765</v>
      </c>
      <c r="AS11">
        <v>2004</v>
      </c>
      <c r="AT11" s="12">
        <v>1.00535565097321</v>
      </c>
      <c r="AU11">
        <f t="shared" si="10"/>
        <v>0.983382831675453</v>
      </c>
      <c r="AW11">
        <v>2004</v>
      </c>
      <c r="AX11" s="12">
        <v>1.00122090903053</v>
      </c>
      <c r="AY11">
        <f t="shared" si="11"/>
        <v>0.996063083322553</v>
      </c>
      <c r="BA11">
        <v>2004</v>
      </c>
      <c r="BB11" s="12">
        <v>0.993840154226378</v>
      </c>
      <c r="BC11">
        <f t="shared" si="12"/>
        <v>0.979473744492088</v>
      </c>
      <c r="BE11">
        <v>2004</v>
      </c>
      <c r="BF11" s="12">
        <v>0.99782407660969</v>
      </c>
      <c r="BG11">
        <f t="shared" si="13"/>
        <v>0.988061075950157</v>
      </c>
    </row>
    <row r="12" spans="1:59">
      <c r="A12">
        <v>2005</v>
      </c>
      <c r="B12" s="12">
        <v>1.01403878166522</v>
      </c>
      <c r="C12">
        <f t="shared" si="14"/>
        <v>1.01157631154917</v>
      </c>
      <c r="E12">
        <v>2005</v>
      </c>
      <c r="F12" s="12">
        <v>1.00220949599906</v>
      </c>
      <c r="G12">
        <f t="shared" si="0"/>
        <v>1.01022873653418</v>
      </c>
      <c r="I12">
        <v>2005</v>
      </c>
      <c r="J12" s="12">
        <v>0.992892868423658</v>
      </c>
      <c r="K12">
        <f t="shared" si="1"/>
        <v>0.997851208373028</v>
      </c>
      <c r="M12">
        <v>2005</v>
      </c>
      <c r="N12" s="12">
        <v>1.00522860931126</v>
      </c>
      <c r="O12">
        <f t="shared" si="2"/>
        <v>1.00092987041947</v>
      </c>
      <c r="Q12">
        <v>2005</v>
      </c>
      <c r="R12" s="12">
        <v>0.993783474578292</v>
      </c>
      <c r="S12">
        <f t="shared" si="3"/>
        <v>0.957309641405297</v>
      </c>
      <c r="U12">
        <v>2005</v>
      </c>
      <c r="V12" s="12">
        <v>1.00747739693637</v>
      </c>
      <c r="W12">
        <f t="shared" si="4"/>
        <v>1.00424070932654</v>
      </c>
      <c r="Y12">
        <v>2005</v>
      </c>
      <c r="Z12" s="12">
        <v>1.0068005032483</v>
      </c>
      <c r="AA12">
        <f t="shared" si="5"/>
        <v>1.02457642600839</v>
      </c>
      <c r="AC12">
        <v>2005</v>
      </c>
      <c r="AD12" s="12">
        <v>0.999650454770217</v>
      </c>
      <c r="AE12">
        <f t="shared" si="6"/>
        <v>0.99006224919258</v>
      </c>
      <c r="AG12">
        <v>2005</v>
      </c>
      <c r="AH12" s="12">
        <v>1.01014503134926</v>
      </c>
      <c r="AI12">
        <f t="shared" si="7"/>
        <v>0.997483916234652</v>
      </c>
      <c r="AK12">
        <v>2005</v>
      </c>
      <c r="AL12" s="12">
        <v>0.99330290991009</v>
      </c>
      <c r="AM12">
        <f t="shared" si="8"/>
        <v>1.02427430184305</v>
      </c>
      <c r="AO12">
        <v>2005</v>
      </c>
      <c r="AP12" s="12">
        <v>1.01046314223841</v>
      </c>
      <c r="AQ12">
        <f t="shared" si="9"/>
        <v>1.21593623225213</v>
      </c>
      <c r="AS12">
        <v>2005</v>
      </c>
      <c r="AT12" s="12">
        <v>1.00300042091679</v>
      </c>
      <c r="AU12">
        <f t="shared" si="10"/>
        <v>0.986333394092826</v>
      </c>
      <c r="AW12">
        <v>2005</v>
      </c>
      <c r="AX12" s="12">
        <v>0.99356041486726</v>
      </c>
      <c r="AY12">
        <f t="shared" si="11"/>
        <v>0.989648850299918</v>
      </c>
      <c r="BA12">
        <v>2005</v>
      </c>
      <c r="BB12" s="12">
        <v>0.993833619125538</v>
      </c>
      <c r="BC12">
        <f t="shared" si="12"/>
        <v>0.973433936327015</v>
      </c>
      <c r="BE12">
        <v>2005</v>
      </c>
      <c r="BF12" s="12">
        <v>0.997031815328869</v>
      </c>
      <c r="BG12">
        <f t="shared" si="13"/>
        <v>0.98512832821038</v>
      </c>
    </row>
    <row r="13" spans="1:59">
      <c r="A13">
        <v>2006</v>
      </c>
      <c r="B13" s="12">
        <v>0.992215249058513</v>
      </c>
      <c r="C13">
        <f t="shared" si="14"/>
        <v>1.00370144190546</v>
      </c>
      <c r="E13">
        <v>2006</v>
      </c>
      <c r="F13" s="12">
        <v>1.00475740305338</v>
      </c>
      <c r="G13">
        <f t="shared" si="0"/>
        <v>1.01503480180998</v>
      </c>
      <c r="I13">
        <v>2006</v>
      </c>
      <c r="J13" s="12">
        <v>1.00128144338787</v>
      </c>
      <c r="K13">
        <f t="shared" si="1"/>
        <v>0.99912989820608</v>
      </c>
      <c r="M13">
        <v>2006</v>
      </c>
      <c r="N13" s="12">
        <v>1.00528019379949</v>
      </c>
      <c r="O13">
        <f t="shared" si="2"/>
        <v>1.00621497411498</v>
      </c>
      <c r="Q13">
        <v>2006</v>
      </c>
      <c r="R13" s="12">
        <v>1.00159717419483</v>
      </c>
      <c r="S13">
        <f t="shared" si="3"/>
        <v>0.958838631661007</v>
      </c>
      <c r="U13">
        <v>2006</v>
      </c>
      <c r="V13" s="12">
        <v>0.999359409671887</v>
      </c>
      <c r="W13">
        <f t="shared" si="4"/>
        <v>1.00359740244105</v>
      </c>
      <c r="Y13">
        <v>2006</v>
      </c>
      <c r="Z13" s="12">
        <v>0.98613294688193</v>
      </c>
      <c r="AA13">
        <f t="shared" si="5"/>
        <v>1.01036857028541</v>
      </c>
      <c r="AC13">
        <v>2006</v>
      </c>
      <c r="AD13" s="12">
        <v>0.99918924244424</v>
      </c>
      <c r="AE13">
        <f t="shared" si="6"/>
        <v>0.989259548743374</v>
      </c>
      <c r="AG13">
        <v>2006</v>
      </c>
      <c r="AH13" s="12">
        <v>0.997398208763645</v>
      </c>
      <c r="AI13">
        <f t="shared" si="7"/>
        <v>0.994888671322987</v>
      </c>
      <c r="AK13">
        <v>2006</v>
      </c>
      <c r="AL13" s="12">
        <v>0.996406423166748</v>
      </c>
      <c r="AM13">
        <f t="shared" si="8"/>
        <v>1.02059349344105</v>
      </c>
      <c r="AO13">
        <v>2006</v>
      </c>
      <c r="AP13" s="12">
        <v>0.973387141803785</v>
      </c>
      <c r="AQ13">
        <f t="shared" si="9"/>
        <v>1.18357669372757</v>
      </c>
      <c r="AS13">
        <v>2006</v>
      </c>
      <c r="AT13" s="12">
        <v>0.998703617440391</v>
      </c>
      <c r="AU13">
        <f t="shared" si="10"/>
        <v>0.985054728682764</v>
      </c>
      <c r="AW13">
        <v>2006</v>
      </c>
      <c r="AX13" s="12">
        <v>1.00354188475649</v>
      </c>
      <c r="AY13">
        <f t="shared" si="11"/>
        <v>0.993154072477076</v>
      </c>
      <c r="BA13">
        <v>2006</v>
      </c>
      <c r="BB13" s="12">
        <v>0.994772452092065</v>
      </c>
      <c r="BC13">
        <f t="shared" si="12"/>
        <v>0.968345263789655</v>
      </c>
      <c r="BE13">
        <v>2006</v>
      </c>
      <c r="BF13" s="12">
        <v>0.999309204691062</v>
      </c>
      <c r="BG13">
        <f t="shared" si="13"/>
        <v>0.984447806182551</v>
      </c>
    </row>
    <row r="14" spans="1:59">
      <c r="A14">
        <v>2007</v>
      </c>
      <c r="B14" s="12">
        <v>1.0068587888434</v>
      </c>
      <c r="C14">
        <f t="shared" si="14"/>
        <v>1.01058561815731</v>
      </c>
      <c r="E14">
        <v>2007</v>
      </c>
      <c r="F14" s="12">
        <v>0.995885492645362</v>
      </c>
      <c r="G14">
        <f t="shared" si="0"/>
        <v>1.01085843365272</v>
      </c>
      <c r="I14">
        <v>2007</v>
      </c>
      <c r="J14" s="12">
        <v>1.00318254963471</v>
      </c>
      <c r="K14">
        <f t="shared" si="1"/>
        <v>1.00230967869864</v>
      </c>
      <c r="M14">
        <v>2007</v>
      </c>
      <c r="N14" s="12">
        <v>1.0187446364364</v>
      </c>
      <c r="O14">
        <f t="shared" si="2"/>
        <v>1.02507610798163</v>
      </c>
      <c r="Q14">
        <v>2007</v>
      </c>
      <c r="R14" s="12">
        <v>1.00407601910867</v>
      </c>
      <c r="S14">
        <f t="shared" si="3"/>
        <v>0.962746876245786</v>
      </c>
      <c r="U14">
        <v>2007</v>
      </c>
      <c r="V14" s="12">
        <v>1.00405349301559</v>
      </c>
      <c r="W14">
        <f t="shared" si="4"/>
        <v>1.0076654775023</v>
      </c>
      <c r="Y14">
        <v>2007</v>
      </c>
      <c r="Z14" s="12">
        <v>1.00570343635592</v>
      </c>
      <c r="AA14">
        <f t="shared" si="5"/>
        <v>1.01613114312206</v>
      </c>
      <c r="AC14">
        <v>2007</v>
      </c>
      <c r="AD14" s="12">
        <v>0.992696043287166</v>
      </c>
      <c r="AE14">
        <f t="shared" si="6"/>
        <v>0.982034039821594</v>
      </c>
      <c r="AG14">
        <v>2007</v>
      </c>
      <c r="AH14" s="12">
        <v>0.99943471814537</v>
      </c>
      <c r="AI14">
        <f t="shared" si="7"/>
        <v>0.994326278809711</v>
      </c>
      <c r="AK14">
        <v>2007</v>
      </c>
      <c r="AL14" s="12">
        <v>1.01970648948375</v>
      </c>
      <c r="AM14">
        <f t="shared" si="8"/>
        <v>1.04070580838673</v>
      </c>
      <c r="AO14">
        <v>2007</v>
      </c>
      <c r="AP14" s="12">
        <v>1.01790565051053</v>
      </c>
      <c r="AQ14">
        <f t="shared" si="9"/>
        <v>1.20476940435786</v>
      </c>
      <c r="AS14">
        <v>2007</v>
      </c>
      <c r="AT14" s="12">
        <v>1.01486442756161</v>
      </c>
      <c r="AU14">
        <f t="shared" si="10"/>
        <v>0.999697003341492</v>
      </c>
      <c r="AW14">
        <v>2007</v>
      </c>
      <c r="AX14" s="12">
        <v>1.00657637231573</v>
      </c>
      <c r="AY14">
        <f t="shared" si="11"/>
        <v>0.999685423424565</v>
      </c>
      <c r="BA14">
        <v>2007</v>
      </c>
      <c r="BB14" s="12">
        <v>0.992453542189185</v>
      </c>
      <c r="BC14">
        <f t="shared" si="12"/>
        <v>0.961037687110164</v>
      </c>
      <c r="BE14">
        <v>2007</v>
      </c>
      <c r="BF14" s="12">
        <v>1.00286296942266</v>
      </c>
      <c r="BG14">
        <f t="shared" si="13"/>
        <v>0.987266250149856</v>
      </c>
    </row>
    <row r="15" spans="1:59">
      <c r="A15">
        <v>2008</v>
      </c>
      <c r="B15" s="12">
        <v>1.02833133722051</v>
      </c>
      <c r="C15">
        <f t="shared" si="14"/>
        <v>1.03921686009552</v>
      </c>
      <c r="E15">
        <v>2008</v>
      </c>
      <c r="F15" s="12">
        <v>0.995552477848189</v>
      </c>
      <c r="G15">
        <f t="shared" si="0"/>
        <v>1.0063626183767</v>
      </c>
      <c r="I15">
        <v>2008</v>
      </c>
      <c r="J15" s="12">
        <v>0.989215905815095</v>
      </c>
      <c r="K15">
        <f t="shared" si="1"/>
        <v>0.991500676721111</v>
      </c>
      <c r="M15">
        <v>2008</v>
      </c>
      <c r="N15" s="12">
        <v>1.00857982969513</v>
      </c>
      <c r="O15">
        <f t="shared" si="2"/>
        <v>1.03387108641266</v>
      </c>
      <c r="Q15">
        <v>2008</v>
      </c>
      <c r="R15" s="12">
        <v>0.9999482022989</v>
      </c>
      <c r="S15">
        <f t="shared" si="3"/>
        <v>0.962697008170855</v>
      </c>
      <c r="U15">
        <v>2008</v>
      </c>
      <c r="V15" s="12">
        <v>1.01093737919883</v>
      </c>
      <c r="W15">
        <f t="shared" si="4"/>
        <v>1.01868669693531</v>
      </c>
      <c r="Y15">
        <v>2008</v>
      </c>
      <c r="Z15" s="12">
        <v>1.01103193513982</v>
      </c>
      <c r="AA15">
        <f t="shared" si="5"/>
        <v>1.02734103598654</v>
      </c>
      <c r="AC15">
        <v>2008</v>
      </c>
      <c r="AD15" s="12">
        <v>1.00249787257885</v>
      </c>
      <c r="AE15">
        <f t="shared" si="6"/>
        <v>0.984487035721162</v>
      </c>
      <c r="AG15">
        <v>2008</v>
      </c>
      <c r="AH15" s="12">
        <v>1.00330201682525</v>
      </c>
      <c r="AI15">
        <f t="shared" si="7"/>
        <v>0.997609560912129</v>
      </c>
      <c r="AK15">
        <v>2008</v>
      </c>
      <c r="AL15" s="12">
        <v>1.03471520732781</v>
      </c>
      <c r="AM15">
        <f t="shared" si="8"/>
        <v>1.07683412629212</v>
      </c>
      <c r="AO15">
        <v>2008</v>
      </c>
      <c r="AP15" s="12">
        <v>1.02861673225126</v>
      </c>
      <c r="AQ15">
        <f t="shared" si="9"/>
        <v>1.23924596782688</v>
      </c>
      <c r="AS15">
        <v>2008</v>
      </c>
      <c r="AT15" s="12">
        <v>1.01317741603316</v>
      </c>
      <c r="AU15">
        <f t="shared" si="10"/>
        <v>1.01287042666163</v>
      </c>
      <c r="AW15">
        <v>2008</v>
      </c>
      <c r="AX15" s="12">
        <v>1.00497708445874</v>
      </c>
      <c r="AY15">
        <f t="shared" si="11"/>
        <v>1.00466094220912</v>
      </c>
      <c r="BA15">
        <v>2008</v>
      </c>
      <c r="BB15" s="12">
        <v>1.00693570704893</v>
      </c>
      <c r="BC15">
        <f t="shared" si="12"/>
        <v>0.967703162970942</v>
      </c>
      <c r="BE15">
        <v>2008</v>
      </c>
      <c r="BF15" s="12">
        <v>1.00326177706131</v>
      </c>
      <c r="BG15">
        <f t="shared" si="13"/>
        <v>0.990486492557998</v>
      </c>
    </row>
    <row r="16" spans="1:59">
      <c r="A16">
        <v>2009</v>
      </c>
      <c r="B16" s="12">
        <v>0.98045934259119</v>
      </c>
      <c r="C16">
        <f t="shared" si="14"/>
        <v>1.01890987945894</v>
      </c>
      <c r="E16">
        <v>2009</v>
      </c>
      <c r="F16" s="12">
        <v>1.0127600797181</v>
      </c>
      <c r="G16">
        <f t="shared" si="0"/>
        <v>1.01920388561251</v>
      </c>
      <c r="I16">
        <v>2009</v>
      </c>
      <c r="J16" s="12">
        <v>1.05600503242886</v>
      </c>
      <c r="K16">
        <f t="shared" si="1"/>
        <v>1.04702970427411</v>
      </c>
      <c r="M16">
        <v>2009</v>
      </c>
      <c r="N16" s="12">
        <v>1.01504187424173</v>
      </c>
      <c r="O16">
        <f t="shared" si="2"/>
        <v>1.04942244527663</v>
      </c>
      <c r="Q16">
        <v>2009</v>
      </c>
      <c r="R16" s="12">
        <v>1.00559980836651</v>
      </c>
      <c r="S16">
        <f t="shared" si="3"/>
        <v>0.968087926931629</v>
      </c>
      <c r="U16">
        <v>2009</v>
      </c>
      <c r="V16" s="12">
        <v>1.00523946623476</v>
      </c>
      <c r="W16">
        <f t="shared" si="4"/>
        <v>1.0240240714877</v>
      </c>
      <c r="Y16">
        <v>2009</v>
      </c>
      <c r="Z16" s="12">
        <v>1.0280108570679</v>
      </c>
      <c r="AA16">
        <f t="shared" si="5"/>
        <v>1.05611773890554</v>
      </c>
      <c r="AC16">
        <v>2009</v>
      </c>
      <c r="AD16" s="12">
        <v>1.00880180549655</v>
      </c>
      <c r="AE16">
        <f t="shared" si="6"/>
        <v>0.993152299123452</v>
      </c>
      <c r="AG16">
        <v>2009</v>
      </c>
      <c r="AH16" s="12">
        <v>1.02574813482049</v>
      </c>
      <c r="AI16">
        <f t="shared" si="7"/>
        <v>1.02329614638471</v>
      </c>
      <c r="AK16">
        <v>2009</v>
      </c>
      <c r="AL16" s="12">
        <v>1.046698985097</v>
      </c>
      <c r="AM16">
        <f t="shared" si="8"/>
        <v>1.12712118710778</v>
      </c>
      <c r="AO16">
        <v>2009</v>
      </c>
      <c r="AP16" s="12">
        <v>1.06750852947602</v>
      </c>
      <c r="AQ16">
        <f t="shared" si="9"/>
        <v>1.32290564077395</v>
      </c>
      <c r="AS16">
        <v>2009</v>
      </c>
      <c r="AT16" s="12">
        <v>0.99751300640915</v>
      </c>
      <c r="AU16">
        <f t="shared" si="10"/>
        <v>1.01035142440216</v>
      </c>
      <c r="AW16">
        <v>2009</v>
      </c>
      <c r="AX16" s="12">
        <v>1.00449361911448</v>
      </c>
      <c r="AY16">
        <f t="shared" si="11"/>
        <v>1.0091755058226</v>
      </c>
      <c r="BA16">
        <v>2009</v>
      </c>
      <c r="BB16" s="12">
        <v>1.02465870252719</v>
      </c>
      <c r="BC16">
        <f t="shared" si="12"/>
        <v>0.991565467401266</v>
      </c>
      <c r="BE16">
        <v>2009</v>
      </c>
      <c r="BF16" s="12">
        <v>1.01604139915584</v>
      </c>
      <c r="BG16">
        <f t="shared" si="13"/>
        <v>1.00637528174358</v>
      </c>
    </row>
    <row r="17" spans="1:59">
      <c r="A17">
        <v>2010</v>
      </c>
      <c r="B17" s="12">
        <v>1.05849424586435</v>
      </c>
      <c r="C17">
        <f t="shared" si="14"/>
        <v>1.07851024446162</v>
      </c>
      <c r="E17">
        <v>2010</v>
      </c>
      <c r="F17" s="12">
        <v>0.999155901270603</v>
      </c>
      <c r="G17">
        <f t="shared" si="0"/>
        <v>1.01834357690767</v>
      </c>
      <c r="I17">
        <v>2010</v>
      </c>
      <c r="J17" s="12">
        <v>0.986381604272505</v>
      </c>
      <c r="K17">
        <f t="shared" si="1"/>
        <v>1.03277083942286</v>
      </c>
      <c r="M17">
        <v>2010</v>
      </c>
      <c r="N17" s="12">
        <v>1.00696865078803</v>
      </c>
      <c r="O17">
        <f t="shared" si="2"/>
        <v>1.05673550382688</v>
      </c>
      <c r="Q17">
        <v>2010</v>
      </c>
      <c r="R17" s="12">
        <v>1.0046897823609</v>
      </c>
      <c r="S17">
        <f t="shared" si="3"/>
        <v>0.972628048615158</v>
      </c>
      <c r="U17">
        <v>2010</v>
      </c>
      <c r="V17" s="12">
        <v>0.99536636191242</v>
      </c>
      <c r="W17">
        <f t="shared" si="4"/>
        <v>1.01927911454746</v>
      </c>
      <c r="Y17">
        <v>2010</v>
      </c>
      <c r="Z17" s="12">
        <v>1.016100414027</v>
      </c>
      <c r="AA17">
        <f t="shared" si="5"/>
        <v>1.07312167176319</v>
      </c>
      <c r="AC17">
        <v>2010</v>
      </c>
      <c r="AD17" s="12">
        <v>0.994285532696881</v>
      </c>
      <c r="AE17">
        <f t="shared" si="6"/>
        <v>0.987476962783093</v>
      </c>
      <c r="AG17">
        <v>2010</v>
      </c>
      <c r="AH17" s="12">
        <v>0.986384588832857</v>
      </c>
      <c r="AI17">
        <f t="shared" si="7"/>
        <v>1.00936354860593</v>
      </c>
      <c r="AK17">
        <v>2010</v>
      </c>
      <c r="AL17" s="12">
        <v>0.97456467662265</v>
      </c>
      <c r="AM17">
        <f t="shared" si="8"/>
        <v>1.09845249522823</v>
      </c>
      <c r="AO17">
        <v>2010</v>
      </c>
      <c r="AP17" s="12">
        <v>0.943100333373693</v>
      </c>
      <c r="AQ17">
        <f t="shared" si="9"/>
        <v>1.24763275083586</v>
      </c>
      <c r="AS17">
        <v>2010</v>
      </c>
      <c r="AT17" s="12">
        <v>1.01058122901034</v>
      </c>
      <c r="AU17">
        <f t="shared" si="10"/>
        <v>1.02104218420468</v>
      </c>
      <c r="AW17">
        <v>2010</v>
      </c>
      <c r="AX17" s="12">
        <v>0.998139727993416</v>
      </c>
      <c r="AY17">
        <f t="shared" si="11"/>
        <v>1.00729816487939</v>
      </c>
      <c r="BA17">
        <v>2010</v>
      </c>
      <c r="BB17" s="12">
        <v>1.00835753577331</v>
      </c>
      <c r="BC17">
        <f t="shared" si="12"/>
        <v>0.99985251126665</v>
      </c>
      <c r="BE17">
        <v>2010</v>
      </c>
      <c r="BF17" s="12">
        <v>1.01201041704959</v>
      </c>
      <c r="BG17">
        <f t="shared" si="13"/>
        <v>1.01846226858572</v>
      </c>
    </row>
    <row r="18" spans="1:59">
      <c r="A18">
        <v>2011</v>
      </c>
      <c r="B18" s="12">
        <v>1.05249458296396</v>
      </c>
      <c r="C18">
        <f t="shared" si="14"/>
        <v>1.13512618996699</v>
      </c>
      <c r="E18">
        <v>2011</v>
      </c>
      <c r="F18" s="12">
        <v>0.996028100753645</v>
      </c>
      <c r="G18">
        <f t="shared" si="0"/>
        <v>1.01429881882202</v>
      </c>
      <c r="I18">
        <v>2011</v>
      </c>
      <c r="J18" s="12">
        <v>0.98649429249274</v>
      </c>
      <c r="K18">
        <f t="shared" si="1"/>
        <v>1.01882253854359</v>
      </c>
      <c r="M18">
        <v>2011</v>
      </c>
      <c r="N18" s="12">
        <v>1.01102137480831</v>
      </c>
      <c r="O18">
        <f t="shared" si="2"/>
        <v>1.06838218188781</v>
      </c>
      <c r="Q18">
        <v>2011</v>
      </c>
      <c r="R18" s="12">
        <v>0.997221495931459</v>
      </c>
      <c r="S18">
        <f t="shared" si="3"/>
        <v>0.969925597624904</v>
      </c>
      <c r="U18">
        <v>2011</v>
      </c>
      <c r="V18" s="12">
        <v>1.00603086903717</v>
      </c>
      <c r="W18">
        <f t="shared" si="4"/>
        <v>1.02542625339961</v>
      </c>
      <c r="Y18">
        <v>2011</v>
      </c>
      <c r="Z18" s="12">
        <v>0.993776328857455</v>
      </c>
      <c r="AA18">
        <f t="shared" si="5"/>
        <v>1.06644291538219</v>
      </c>
      <c r="AC18">
        <v>2011</v>
      </c>
      <c r="AD18" s="12">
        <v>0.997200550556831</v>
      </c>
      <c r="AE18">
        <f t="shared" si="6"/>
        <v>0.984712570949488</v>
      </c>
      <c r="AG18">
        <v>2011</v>
      </c>
      <c r="AH18" s="12">
        <v>0.996570826790323</v>
      </c>
      <c r="AI18">
        <f t="shared" si="7"/>
        <v>1.00590226616622</v>
      </c>
      <c r="AK18">
        <v>2011</v>
      </c>
      <c r="AL18" s="12">
        <v>0.996068779732597</v>
      </c>
      <c r="AM18">
        <f t="shared" si="8"/>
        <v>1.09413423651621</v>
      </c>
      <c r="AO18">
        <v>2011</v>
      </c>
      <c r="AP18" s="12">
        <v>0.985629080041779</v>
      </c>
      <c r="AQ18">
        <f t="shared" si="9"/>
        <v>1.22970312043634</v>
      </c>
      <c r="AS18">
        <v>2011</v>
      </c>
      <c r="AT18" s="12">
        <v>1.06330320270503</v>
      </c>
      <c r="AU18">
        <f t="shared" si="10"/>
        <v>1.08567742456177</v>
      </c>
      <c r="AW18">
        <v>2011</v>
      </c>
      <c r="AX18" s="12">
        <v>1.00569968648323</v>
      </c>
      <c r="AY18">
        <f t="shared" si="11"/>
        <v>1.01303944861433</v>
      </c>
      <c r="BA18">
        <v>2011</v>
      </c>
      <c r="BB18" s="12">
        <v>0.990167296083681</v>
      </c>
      <c r="BC18">
        <f t="shared" si="12"/>
        <v>0.990021257563377</v>
      </c>
      <c r="BE18">
        <v>2011</v>
      </c>
      <c r="BF18" s="12">
        <v>1.01506151307693</v>
      </c>
      <c r="BG18">
        <f t="shared" si="13"/>
        <v>1.03380185136239</v>
      </c>
    </row>
    <row r="19" spans="1:59">
      <c r="A19">
        <v>2012</v>
      </c>
      <c r="B19" s="12">
        <v>1.02555524810084</v>
      </c>
      <c r="C19">
        <f t="shared" si="14"/>
        <v>1.16413462137736</v>
      </c>
      <c r="E19">
        <v>2012</v>
      </c>
      <c r="F19" s="12">
        <v>0.998540664901795</v>
      </c>
      <c r="G19">
        <f t="shared" si="0"/>
        <v>1.01281861695564</v>
      </c>
      <c r="I19">
        <v>2012</v>
      </c>
      <c r="J19" s="12">
        <v>1.00876924991009</v>
      </c>
      <c r="K19">
        <f t="shared" si="1"/>
        <v>1.02775684799811</v>
      </c>
      <c r="M19">
        <v>2012</v>
      </c>
      <c r="N19" s="12">
        <v>0.983810104847642</v>
      </c>
      <c r="O19">
        <f t="shared" si="2"/>
        <v>1.05108518638039</v>
      </c>
      <c r="Q19">
        <v>2012</v>
      </c>
      <c r="R19" s="12">
        <v>0.995299043294519</v>
      </c>
      <c r="S19">
        <f t="shared" si="3"/>
        <v>0.965366019382931</v>
      </c>
      <c r="U19">
        <v>2012</v>
      </c>
      <c r="V19" s="12">
        <v>0.999557245056891</v>
      </c>
      <c r="W19">
        <f t="shared" si="4"/>
        <v>1.02497224085712</v>
      </c>
      <c r="Y19">
        <v>2012</v>
      </c>
      <c r="Z19" s="12">
        <v>0.994843922835229</v>
      </c>
      <c r="AA19">
        <f t="shared" si="5"/>
        <v>1.06094425341866</v>
      </c>
      <c r="AC19">
        <v>2012</v>
      </c>
      <c r="AD19" s="12">
        <v>0.999766899842239</v>
      </c>
      <c r="AE19">
        <f t="shared" si="6"/>
        <v>0.984483034293851</v>
      </c>
      <c r="AG19">
        <v>2012</v>
      </c>
      <c r="AH19" s="12">
        <v>1.00560683215021</v>
      </c>
      <c r="AI19">
        <f t="shared" si="7"/>
        <v>1.01154219133214</v>
      </c>
      <c r="AK19">
        <v>2012</v>
      </c>
      <c r="AL19" s="12">
        <v>0.991681640225791</v>
      </c>
      <c r="AM19">
        <f t="shared" si="8"/>
        <v>1.08503283429559</v>
      </c>
      <c r="AO19">
        <v>2012</v>
      </c>
      <c r="AP19" s="12">
        <v>1.03063047685712</v>
      </c>
      <c r="AQ19">
        <f t="shared" si="9"/>
        <v>1.267369513408</v>
      </c>
      <c r="AS19">
        <v>2012</v>
      </c>
      <c r="AT19" s="12">
        <v>1.01323323151246</v>
      </c>
      <c r="AU19">
        <f t="shared" si="10"/>
        <v>1.10004444526885</v>
      </c>
      <c r="AW19">
        <v>2012</v>
      </c>
      <c r="AX19" s="12">
        <v>1.00559012183105</v>
      </c>
      <c r="AY19">
        <f t="shared" si="11"/>
        <v>1.01870246255175</v>
      </c>
      <c r="BA19">
        <v>2012</v>
      </c>
      <c r="BB19" s="12">
        <v>0.998840017657414</v>
      </c>
      <c r="BC19">
        <f t="shared" si="12"/>
        <v>0.988872850385819</v>
      </c>
      <c r="BE19">
        <v>2012</v>
      </c>
      <c r="BF19" s="12">
        <v>0.979028134481328</v>
      </c>
      <c r="BG19">
        <f t="shared" si="13"/>
        <v>1.01212109796266</v>
      </c>
    </row>
    <row r="20" spans="1:59">
      <c r="A20">
        <v>2013</v>
      </c>
      <c r="B20" s="12">
        <v>1.000657284951</v>
      </c>
      <c r="C20">
        <f t="shared" si="14"/>
        <v>1.16489978954493</v>
      </c>
      <c r="E20">
        <v>2013</v>
      </c>
      <c r="F20" s="12">
        <v>1.0009614507024</v>
      </c>
      <c r="G20">
        <f t="shared" si="0"/>
        <v>1.01379239212632</v>
      </c>
      <c r="I20">
        <v>2013</v>
      </c>
      <c r="J20" s="12">
        <v>1.01673323542167</v>
      </c>
      <c r="K20">
        <f t="shared" si="1"/>
        <v>1.0449545452919</v>
      </c>
      <c r="M20">
        <v>2013</v>
      </c>
      <c r="N20" s="12">
        <v>0.998637042927127</v>
      </c>
      <c r="O20">
        <f t="shared" si="2"/>
        <v>1.04965260239142</v>
      </c>
      <c r="Q20">
        <v>2013</v>
      </c>
      <c r="R20" s="12">
        <v>0.997790004045366</v>
      </c>
      <c r="S20">
        <f t="shared" si="3"/>
        <v>0.963232564385354</v>
      </c>
      <c r="U20">
        <v>2013</v>
      </c>
      <c r="V20" s="12">
        <v>1.00406934255174</v>
      </c>
      <c r="W20">
        <f t="shared" si="4"/>
        <v>1.02914320401119</v>
      </c>
      <c r="Y20">
        <v>2013</v>
      </c>
      <c r="Z20" s="12">
        <v>1.00420482644146</v>
      </c>
      <c r="AA20">
        <f t="shared" si="5"/>
        <v>1.06540533986835</v>
      </c>
      <c r="AC20">
        <v>2013</v>
      </c>
      <c r="AD20" s="12">
        <v>0.997512658375689</v>
      </c>
      <c r="AE20">
        <f t="shared" si="6"/>
        <v>0.982034288664224</v>
      </c>
      <c r="AG20">
        <v>2013</v>
      </c>
      <c r="AH20" s="12">
        <v>1.00469910995251</v>
      </c>
      <c r="AI20">
        <f t="shared" si="7"/>
        <v>1.01629553931081</v>
      </c>
      <c r="AK20">
        <v>2013</v>
      </c>
      <c r="AL20" s="12">
        <v>1.0227921597736</v>
      </c>
      <c r="AM20">
        <f t="shared" si="8"/>
        <v>1.10976307601446</v>
      </c>
      <c r="AO20">
        <v>2013</v>
      </c>
      <c r="AP20" s="12">
        <v>1.0070905264214</v>
      </c>
      <c r="AQ20">
        <f t="shared" si="9"/>
        <v>1.27635583042849</v>
      </c>
      <c r="AS20">
        <v>2013</v>
      </c>
      <c r="AT20" s="12">
        <v>1.00571062697857</v>
      </c>
      <c r="AU20">
        <f t="shared" si="10"/>
        <v>1.10632638875563</v>
      </c>
      <c r="AW20">
        <v>2013</v>
      </c>
      <c r="AX20" s="12">
        <v>1.00663168619386</v>
      </c>
      <c r="AY20">
        <f t="shared" si="11"/>
        <v>1.02545817760831</v>
      </c>
      <c r="BA20">
        <v>2013</v>
      </c>
      <c r="BB20" s="12">
        <v>1.00094261216143</v>
      </c>
      <c r="BC20">
        <f t="shared" si="12"/>
        <v>0.989804973960697</v>
      </c>
      <c r="BE20">
        <v>2013</v>
      </c>
      <c r="BF20" s="12">
        <v>1.01281788077052</v>
      </c>
      <c r="BG20">
        <f t="shared" si="13"/>
        <v>1.02509434552167</v>
      </c>
    </row>
    <row r="21" spans="1:59">
      <c r="A21">
        <v>2014</v>
      </c>
      <c r="B21" s="12">
        <v>0.9800474830702</v>
      </c>
      <c r="C21">
        <f t="shared" si="14"/>
        <v>1.14165710677251</v>
      </c>
      <c r="E21">
        <v>2014</v>
      </c>
      <c r="F21" s="12">
        <v>1.00321729294833</v>
      </c>
      <c r="G21">
        <f t="shared" si="0"/>
        <v>1.01705405924058</v>
      </c>
      <c r="I21">
        <v>2014</v>
      </c>
      <c r="J21" s="12">
        <v>0.999042248853834</v>
      </c>
      <c r="K21">
        <f t="shared" si="1"/>
        <v>1.04395373887845</v>
      </c>
      <c r="M21">
        <v>2014</v>
      </c>
      <c r="N21" s="12">
        <v>0.993919566893537</v>
      </c>
      <c r="O21">
        <f t="shared" si="2"/>
        <v>1.04327025995756</v>
      </c>
      <c r="Q21">
        <v>2014</v>
      </c>
      <c r="R21" s="12">
        <v>0.999125596954047</v>
      </c>
      <c r="S21">
        <f t="shared" si="3"/>
        <v>0.962390310897095</v>
      </c>
      <c r="U21">
        <v>2014</v>
      </c>
      <c r="V21" s="12">
        <v>1.00134020712079</v>
      </c>
      <c r="W21">
        <f t="shared" si="4"/>
        <v>1.03052246906152</v>
      </c>
      <c r="Y21">
        <v>2014</v>
      </c>
      <c r="Z21" s="12">
        <v>0.994364308425749</v>
      </c>
      <c r="AA21">
        <f t="shared" si="5"/>
        <v>1.05940104397129</v>
      </c>
      <c r="AC21">
        <v>2014</v>
      </c>
      <c r="AD21" s="12">
        <v>1.00053108140147</v>
      </c>
      <c r="AE21">
        <f t="shared" si="6"/>
        <v>0.982555828810539</v>
      </c>
      <c r="AG21">
        <v>2014</v>
      </c>
      <c r="AH21" s="12">
        <v>1.0063343490873</v>
      </c>
      <c r="AI21">
        <f t="shared" si="7"/>
        <v>1.02273311003267</v>
      </c>
      <c r="AK21">
        <v>2014</v>
      </c>
      <c r="AL21" s="12">
        <v>0.998236342888347</v>
      </c>
      <c r="AM21">
        <f t="shared" si="8"/>
        <v>1.1078058344732</v>
      </c>
      <c r="AO21">
        <v>2014</v>
      </c>
      <c r="AP21" s="12">
        <v>1.00165463625926</v>
      </c>
      <c r="AQ21">
        <f t="shared" si="9"/>
        <v>1.27846773506523</v>
      </c>
      <c r="AS21">
        <v>2014</v>
      </c>
      <c r="AT21" s="12">
        <v>1.0071721560189</v>
      </c>
      <c r="AU21">
        <f t="shared" si="10"/>
        <v>1.11426113422361</v>
      </c>
      <c r="AW21">
        <v>2014</v>
      </c>
      <c r="AX21" s="12">
        <v>1.00026832111518</v>
      </c>
      <c r="AY21">
        <f t="shared" si="11"/>
        <v>1.02573332969009</v>
      </c>
      <c r="BA21">
        <v>2014</v>
      </c>
      <c r="BB21" s="12">
        <v>0.993231083477185</v>
      </c>
      <c r="BC21">
        <f t="shared" si="12"/>
        <v>0.98310506671809</v>
      </c>
      <c r="BE21">
        <v>2014</v>
      </c>
      <c r="BF21" s="12">
        <v>0.985460014206566</v>
      </c>
      <c r="BG21">
        <f t="shared" si="13"/>
        <v>1.01018948830086</v>
      </c>
    </row>
    <row r="22" spans="1:59">
      <c r="A22">
        <v>2015</v>
      </c>
      <c r="B22" s="12">
        <v>0.973542054858091</v>
      </c>
      <c r="C22">
        <f t="shared" si="14"/>
        <v>1.11145120567066</v>
      </c>
      <c r="E22">
        <v>2015</v>
      </c>
      <c r="F22" s="12">
        <v>1.00390696412191</v>
      </c>
      <c r="G22">
        <f t="shared" si="0"/>
        <v>1.02102765296007</v>
      </c>
      <c r="I22">
        <v>2015</v>
      </c>
      <c r="J22" s="12">
        <v>0.983403178385407</v>
      </c>
      <c r="K22">
        <f t="shared" si="1"/>
        <v>1.0266274249004</v>
      </c>
      <c r="M22">
        <v>2015</v>
      </c>
      <c r="N22" s="12">
        <v>0.979546927758163</v>
      </c>
      <c r="O22">
        <f t="shared" si="2"/>
        <v>1.02193217796289</v>
      </c>
      <c r="Q22">
        <v>2015</v>
      </c>
      <c r="R22" s="12">
        <v>0.994352662102645</v>
      </c>
      <c r="S22">
        <f t="shared" si="3"/>
        <v>0.956955367622318</v>
      </c>
      <c r="U22">
        <v>2015</v>
      </c>
      <c r="V22" s="12">
        <v>0.997536834381905</v>
      </c>
      <c r="W22">
        <f t="shared" si="4"/>
        <v>1.02798412154705</v>
      </c>
      <c r="Y22">
        <v>2015</v>
      </c>
      <c r="Z22" s="12">
        <v>0.984812208324371</v>
      </c>
      <c r="AA22">
        <f t="shared" si="5"/>
        <v>1.04331108161451</v>
      </c>
      <c r="AC22">
        <v>2015</v>
      </c>
      <c r="AD22" s="12">
        <v>1.0032882407186</v>
      </c>
      <c r="AE22">
        <f t="shared" si="6"/>
        <v>0.985786708895132</v>
      </c>
      <c r="AG22">
        <v>2015</v>
      </c>
      <c r="AH22" s="12">
        <v>0.993229073099913</v>
      </c>
      <c r="AI22">
        <f t="shared" si="7"/>
        <v>1.01580825890634</v>
      </c>
      <c r="AK22">
        <v>2015</v>
      </c>
      <c r="AL22" s="12">
        <v>0.949500599073655</v>
      </c>
      <c r="AM22">
        <f t="shared" si="8"/>
        <v>1.05186230348959</v>
      </c>
      <c r="AO22">
        <v>2015</v>
      </c>
      <c r="AP22" s="12">
        <v>0.970466110573234</v>
      </c>
      <c r="AQ22">
        <f t="shared" si="9"/>
        <v>1.24070961034213</v>
      </c>
      <c r="AS22">
        <v>2015</v>
      </c>
      <c r="AT22" s="12">
        <v>0.990681094505102</v>
      </c>
      <c r="AU22">
        <f t="shared" si="10"/>
        <v>1.10387744001714</v>
      </c>
      <c r="AW22">
        <v>2015</v>
      </c>
      <c r="AX22" s="12">
        <v>0.991379833124711</v>
      </c>
      <c r="AY22">
        <f t="shared" si="11"/>
        <v>1.01689133721862</v>
      </c>
      <c r="BA22">
        <v>2015</v>
      </c>
      <c r="BB22" s="12">
        <v>0.991626900977752</v>
      </c>
      <c r="BC22">
        <f t="shared" si="12"/>
        <v>0.974873430645185</v>
      </c>
      <c r="BE22">
        <v>2015</v>
      </c>
      <c r="BF22" s="12">
        <v>0.99576331366155</v>
      </c>
      <c r="BG22">
        <f t="shared" si="13"/>
        <v>1.00590963229653</v>
      </c>
    </row>
    <row r="23" spans="1:59">
      <c r="A23">
        <v>2016</v>
      </c>
      <c r="B23" s="12">
        <v>0.977057826663442</v>
      </c>
      <c r="C23">
        <f t="shared" si="14"/>
        <v>1.08595209945503</v>
      </c>
      <c r="E23">
        <v>2016</v>
      </c>
      <c r="F23" s="12">
        <v>0.994648932421623</v>
      </c>
      <c r="G23">
        <f t="shared" si="0"/>
        <v>1.01556406498969</v>
      </c>
      <c r="I23">
        <v>2016</v>
      </c>
      <c r="J23" s="12">
        <v>0.985195557277496</v>
      </c>
      <c r="K23">
        <f t="shared" si="1"/>
        <v>1.01142877799111</v>
      </c>
      <c r="M23">
        <v>2016</v>
      </c>
      <c r="N23" s="12">
        <v>1.01987675342265</v>
      </c>
      <c r="O23">
        <f t="shared" si="2"/>
        <v>1.04224487187893</v>
      </c>
      <c r="Q23">
        <v>2016</v>
      </c>
      <c r="R23" s="12">
        <v>0.993973284494259</v>
      </c>
      <c r="S23">
        <f t="shared" si="3"/>
        <v>0.951188069869967</v>
      </c>
      <c r="U23">
        <v>2016</v>
      </c>
      <c r="V23" s="12">
        <v>1.00449713118631</v>
      </c>
      <c r="W23">
        <f t="shared" si="4"/>
        <v>1.03260710099909</v>
      </c>
      <c r="Y23">
        <v>2016</v>
      </c>
      <c r="Z23" s="12">
        <v>0.995694331648801</v>
      </c>
      <c r="AA23">
        <f t="shared" si="5"/>
        <v>1.03881893010995</v>
      </c>
      <c r="AC23">
        <v>2016</v>
      </c>
      <c r="AD23" s="12">
        <v>0.998433454446459</v>
      </c>
      <c r="AE23">
        <f t="shared" si="6"/>
        <v>0.984242429109573</v>
      </c>
      <c r="AG23">
        <v>2016</v>
      </c>
      <c r="AH23" s="12">
        <v>0.997721469206223</v>
      </c>
      <c r="AI23">
        <f t="shared" si="7"/>
        <v>1.01349370850785</v>
      </c>
      <c r="AK23">
        <v>2016</v>
      </c>
      <c r="AL23" s="12">
        <v>1.00713849578788</v>
      </c>
      <c r="AM23">
        <f t="shared" si="8"/>
        <v>1.05937101811248</v>
      </c>
      <c r="AO23">
        <v>2016</v>
      </c>
      <c r="AP23" s="12">
        <v>0.99789388349613</v>
      </c>
      <c r="AQ23">
        <f t="shared" si="9"/>
        <v>1.23809653135528</v>
      </c>
      <c r="AS23">
        <v>2016</v>
      </c>
      <c r="AT23" s="12">
        <v>0.986156919430088</v>
      </c>
      <c r="AU23">
        <f t="shared" si="10"/>
        <v>1.08859637567568</v>
      </c>
      <c r="AW23">
        <v>2016</v>
      </c>
      <c r="AX23" s="12">
        <v>0.99881437457367</v>
      </c>
      <c r="AY23">
        <f t="shared" si="11"/>
        <v>1.0156856849934</v>
      </c>
      <c r="BA23">
        <v>2016</v>
      </c>
      <c r="BB23" s="12">
        <v>0.998273987854216</v>
      </c>
      <c r="BC23">
        <f t="shared" si="12"/>
        <v>0.97319078726329</v>
      </c>
      <c r="BE23">
        <v>2016</v>
      </c>
      <c r="BF23" s="12">
        <v>0.996384431280116</v>
      </c>
      <c r="BG23">
        <f t="shared" si="13"/>
        <v>1.00227269689497</v>
      </c>
    </row>
    <row r="24" spans="1:59">
      <c r="A24">
        <v>2017</v>
      </c>
      <c r="B24" s="12">
        <v>1.04672603271679</v>
      </c>
      <c r="C24">
        <f t="shared" si="14"/>
        <v>1.13669433278304</v>
      </c>
      <c r="E24">
        <v>2017</v>
      </c>
      <c r="F24" s="12">
        <v>0.99457995891668</v>
      </c>
      <c r="G24">
        <f t="shared" si="0"/>
        <v>1.0100596660347</v>
      </c>
      <c r="I24">
        <v>2017</v>
      </c>
      <c r="J24" s="12">
        <v>1.00116084099752</v>
      </c>
      <c r="K24">
        <f t="shared" si="1"/>
        <v>1.01260288598267</v>
      </c>
      <c r="M24">
        <v>2017</v>
      </c>
      <c r="N24" s="12">
        <v>0.998574441874239</v>
      </c>
      <c r="O24">
        <f t="shared" si="2"/>
        <v>1.04075909123279</v>
      </c>
      <c r="Q24">
        <v>2017</v>
      </c>
      <c r="R24" s="12">
        <v>0.999203164017693</v>
      </c>
      <c r="S24">
        <f t="shared" si="3"/>
        <v>0.950430128989953</v>
      </c>
      <c r="U24">
        <v>2017</v>
      </c>
      <c r="V24" s="12">
        <v>0.995946414661268</v>
      </c>
      <c r="W24">
        <f t="shared" si="4"/>
        <v>1.02842133999381</v>
      </c>
      <c r="Y24">
        <v>2017</v>
      </c>
      <c r="Z24" s="12">
        <v>1.00204984696774</v>
      </c>
      <c r="AA24">
        <f t="shared" si="5"/>
        <v>1.04094834994386</v>
      </c>
      <c r="AC24">
        <v>2017</v>
      </c>
      <c r="AD24" s="12">
        <v>0.994748852169937</v>
      </c>
      <c r="AE24">
        <f t="shared" si="6"/>
        <v>0.979074026613698</v>
      </c>
      <c r="AG24">
        <v>2017</v>
      </c>
      <c r="AH24" s="12">
        <v>0.998659435920381</v>
      </c>
      <c r="AI24">
        <f t="shared" si="7"/>
        <v>1.01213505524731</v>
      </c>
      <c r="AK24">
        <v>2017</v>
      </c>
      <c r="AL24" s="12">
        <v>0.9995082678992</v>
      </c>
      <c r="AM24">
        <f t="shared" si="8"/>
        <v>1.05885009137622</v>
      </c>
      <c r="AO24">
        <v>2017</v>
      </c>
      <c r="AP24" s="12">
        <v>0.995187019502814</v>
      </c>
      <c r="AQ24">
        <f t="shared" si="9"/>
        <v>1.23213759689623</v>
      </c>
      <c r="AS24">
        <v>2017</v>
      </c>
      <c r="AT24" s="12">
        <v>1.02342903792676</v>
      </c>
      <c r="AU24">
        <f t="shared" si="10"/>
        <v>1.11410114144831</v>
      </c>
      <c r="AW24">
        <v>2017</v>
      </c>
      <c r="AX24" s="12">
        <v>0.996187845688507</v>
      </c>
      <c r="AY24">
        <f t="shared" si="11"/>
        <v>1.01181373443023</v>
      </c>
      <c r="BA24">
        <v>2017</v>
      </c>
      <c r="BB24" s="12">
        <v>1.00191504471554</v>
      </c>
      <c r="BC24">
        <f t="shared" si="12"/>
        <v>0.975054491137654</v>
      </c>
      <c r="BE24">
        <v>2017</v>
      </c>
      <c r="BF24" s="12">
        <v>1.005450895127</v>
      </c>
      <c r="BG24">
        <f t="shared" si="13"/>
        <v>1.0077359802544</v>
      </c>
    </row>
    <row r="25" spans="1:59">
      <c r="A25">
        <v>2018</v>
      </c>
      <c r="B25" s="12">
        <v>1.00416101461285</v>
      </c>
      <c r="C25">
        <f t="shared" si="14"/>
        <v>1.1414241345121</v>
      </c>
      <c r="E25">
        <v>2018</v>
      </c>
      <c r="F25" s="12">
        <v>0.999233812710848</v>
      </c>
      <c r="G25">
        <f t="shared" si="0"/>
        <v>1.0092857711573</v>
      </c>
      <c r="I25">
        <v>2018</v>
      </c>
      <c r="J25" s="12">
        <v>0.992251695935669</v>
      </c>
      <c r="K25">
        <f t="shared" si="1"/>
        <v>1.00475693092566</v>
      </c>
      <c r="M25">
        <v>2018</v>
      </c>
      <c r="N25" s="12">
        <v>1.01530900553752</v>
      </c>
      <c r="O25">
        <f t="shared" si="2"/>
        <v>1.05669207792369</v>
      </c>
      <c r="Q25">
        <v>2018</v>
      </c>
      <c r="R25" s="12">
        <v>0.996358705848814</v>
      </c>
      <c r="S25">
        <f t="shared" si="3"/>
        <v>0.946969333320151</v>
      </c>
      <c r="U25">
        <v>2018</v>
      </c>
      <c r="V25" s="12">
        <v>1.00263521536234</v>
      </c>
      <c r="W25">
        <f t="shared" si="4"/>
        <v>1.03113145170793</v>
      </c>
      <c r="Y25">
        <v>2018</v>
      </c>
      <c r="Z25" s="12">
        <v>1.00333330589128</v>
      </c>
      <c r="AA25">
        <f t="shared" si="5"/>
        <v>1.04441814921124</v>
      </c>
      <c r="AC25">
        <v>2018</v>
      </c>
      <c r="AD25" s="12">
        <v>0.998672920751065</v>
      </c>
      <c r="AE25">
        <f t="shared" si="6"/>
        <v>0.977774717789808</v>
      </c>
      <c r="AG25">
        <v>2018</v>
      </c>
      <c r="AH25" s="12">
        <v>0.992324542414942</v>
      </c>
      <c r="AI25">
        <f t="shared" si="7"/>
        <v>1.0043664555604</v>
      </c>
      <c r="AK25">
        <v>2018</v>
      </c>
      <c r="AL25" s="12">
        <v>1.01347593908037</v>
      </c>
      <c r="AM25">
        <f t="shared" si="8"/>
        <v>1.07311909070284</v>
      </c>
      <c r="AO25">
        <v>2018</v>
      </c>
      <c r="AP25" s="12">
        <v>0.995931119900819</v>
      </c>
      <c r="AQ25">
        <f t="shared" si="9"/>
        <v>1.22712417674877</v>
      </c>
      <c r="AS25">
        <v>2018</v>
      </c>
      <c r="AT25" s="12">
        <v>0.974669070127806</v>
      </c>
      <c r="AU25">
        <f t="shared" si="10"/>
        <v>1.08587992356376</v>
      </c>
      <c r="AW25">
        <v>2018</v>
      </c>
      <c r="AX25" s="12">
        <v>1.00120245612978</v>
      </c>
      <c r="AY25">
        <f t="shared" si="11"/>
        <v>1.01303039605739</v>
      </c>
      <c r="BA25">
        <v>2018</v>
      </c>
      <c r="BB25" s="12">
        <v>1.00245690483636</v>
      </c>
      <c r="BC25">
        <f t="shared" si="12"/>
        <v>0.977450107232648</v>
      </c>
      <c r="BE25">
        <v>2018</v>
      </c>
      <c r="BF25" s="12">
        <v>1.00290791645559</v>
      </c>
      <c r="BG25">
        <f t="shared" si="13"/>
        <v>1.01066639229428</v>
      </c>
    </row>
    <row r="26" spans="1:59">
      <c r="A26">
        <v>2019</v>
      </c>
      <c r="B26" s="12">
        <v>1.01243129864425</v>
      </c>
      <c r="C26">
        <f t="shared" si="14"/>
        <v>1.15561351880797</v>
      </c>
      <c r="E26">
        <v>2019</v>
      </c>
      <c r="F26" s="12">
        <v>0.994101711309649</v>
      </c>
      <c r="G26">
        <f t="shared" si="0"/>
        <v>1.00333271230795</v>
      </c>
      <c r="I26">
        <v>2019</v>
      </c>
      <c r="J26" s="12">
        <v>1.00425405381723</v>
      </c>
      <c r="K26">
        <f t="shared" si="1"/>
        <v>1.00903122098305</v>
      </c>
      <c r="M26">
        <v>2019</v>
      </c>
      <c r="N26" s="12">
        <v>1.0058378687029</v>
      </c>
      <c r="O26">
        <f t="shared" si="2"/>
        <v>1.06286090753401</v>
      </c>
      <c r="Q26">
        <v>2019</v>
      </c>
      <c r="R26" s="12">
        <v>0.994005771028365</v>
      </c>
      <c r="S26">
        <f t="shared" si="3"/>
        <v>0.941292982307114</v>
      </c>
      <c r="U26">
        <v>2019</v>
      </c>
      <c r="V26" s="12">
        <v>1.00232810877429</v>
      </c>
      <c r="W26">
        <f t="shared" si="4"/>
        <v>1.03353203788809</v>
      </c>
      <c r="Y26">
        <v>2019</v>
      </c>
      <c r="Z26" s="12">
        <v>1.00167008821591</v>
      </c>
      <c r="AA26">
        <f t="shared" si="5"/>
        <v>1.04616241965472</v>
      </c>
      <c r="AC26">
        <v>2019</v>
      </c>
      <c r="AD26" s="12">
        <v>1.00716044569783</v>
      </c>
      <c r="AE26">
        <f t="shared" si="6"/>
        <v>0.984776020561255</v>
      </c>
      <c r="AG26">
        <v>2019</v>
      </c>
      <c r="AH26" s="12">
        <v>1.00635241924601</v>
      </c>
      <c r="AI26">
        <f t="shared" si="7"/>
        <v>1.01074661236275</v>
      </c>
      <c r="AK26">
        <v>2019</v>
      </c>
      <c r="AL26" s="12">
        <v>0.984555988084864</v>
      </c>
      <c r="AM26">
        <f t="shared" si="8"/>
        <v>1.05654582667967</v>
      </c>
      <c r="AO26">
        <v>2019</v>
      </c>
      <c r="AP26" s="12">
        <v>0.994253595731923</v>
      </c>
      <c r="AQ26">
        <f t="shared" si="9"/>
        <v>1.22007262514204</v>
      </c>
      <c r="AS26">
        <v>2019</v>
      </c>
      <c r="AT26" s="12">
        <v>1.02217195673862</v>
      </c>
      <c r="AU26">
        <f t="shared" si="10"/>
        <v>1.10995600625235</v>
      </c>
      <c r="AW26">
        <v>2019</v>
      </c>
      <c r="AX26" s="12">
        <v>0.99852317648975</v>
      </c>
      <c r="AY26">
        <f t="shared" si="11"/>
        <v>1.01153432895189</v>
      </c>
      <c r="BA26">
        <v>2019</v>
      </c>
      <c r="BB26" s="12">
        <v>1.02294029842063</v>
      </c>
      <c r="BC26">
        <f t="shared" si="12"/>
        <v>0.999873104383839</v>
      </c>
      <c r="BE26">
        <v>2019</v>
      </c>
      <c r="BF26" s="12">
        <v>1.00295255449969</v>
      </c>
      <c r="BG26">
        <f t="shared" si="13"/>
        <v>1.01365043989853</v>
      </c>
    </row>
    <row r="27" spans="1:59">
      <c r="A27">
        <v>2020</v>
      </c>
      <c r="B27" s="12">
        <v>1.00966903127515</v>
      </c>
      <c r="C27">
        <f t="shared" si="14"/>
        <v>1.16678718206331</v>
      </c>
      <c r="E27">
        <v>2020</v>
      </c>
      <c r="F27" s="12">
        <v>1.00599199269091</v>
      </c>
      <c r="G27">
        <f t="shared" si="0"/>
        <v>1.00934467458665</v>
      </c>
      <c r="I27">
        <v>2020</v>
      </c>
      <c r="J27" s="12">
        <v>1.01644455894194</v>
      </c>
      <c r="K27">
        <f t="shared" si="1"/>
        <v>1.02562429437076</v>
      </c>
      <c r="M27">
        <v>2020</v>
      </c>
      <c r="N27" s="12">
        <v>0.997372437011919</v>
      </c>
      <c r="O27">
        <f t="shared" si="2"/>
        <v>1.06006817355189</v>
      </c>
      <c r="Q27">
        <v>2020</v>
      </c>
      <c r="R27" s="12">
        <v>1.00936663896108</v>
      </c>
      <c r="S27">
        <f t="shared" si="3"/>
        <v>0.950109733828984</v>
      </c>
      <c r="U27">
        <v>2020</v>
      </c>
      <c r="V27" s="12">
        <v>1.01025029926285</v>
      </c>
      <c r="W27">
        <f t="shared" si="4"/>
        <v>1.04412605057418</v>
      </c>
      <c r="Y27">
        <v>2020</v>
      </c>
      <c r="Z27" s="12">
        <v>1.00905358339085</v>
      </c>
      <c r="AA27">
        <f t="shared" si="5"/>
        <v>1.05563393836144</v>
      </c>
      <c r="AC27">
        <v>2020</v>
      </c>
      <c r="AD27" s="12">
        <v>1.00213138422688</v>
      </c>
      <c r="AE27">
        <f t="shared" si="6"/>
        <v>0.986874956638493</v>
      </c>
      <c r="AG27">
        <v>2020</v>
      </c>
      <c r="AH27" s="12">
        <v>1.00113409941212</v>
      </c>
      <c r="AI27">
        <f t="shared" si="7"/>
        <v>1.01189289950163</v>
      </c>
      <c r="AK27">
        <v>2020</v>
      </c>
      <c r="AL27" s="12">
        <v>1.00547796583103</v>
      </c>
      <c r="AM27">
        <f t="shared" si="8"/>
        <v>1.06233354861713</v>
      </c>
      <c r="AO27">
        <v>2020</v>
      </c>
      <c r="AP27" s="12">
        <v>0.992752148646186</v>
      </c>
      <c r="AQ27">
        <f t="shared" si="9"/>
        <v>1.21122972011415</v>
      </c>
      <c r="AS27">
        <v>2020</v>
      </c>
      <c r="AT27" s="12">
        <v>0.978951864376907</v>
      </c>
      <c r="AU27">
        <f t="shared" si="10"/>
        <v>1.08659350169708</v>
      </c>
      <c r="AW27">
        <v>2020</v>
      </c>
      <c r="AX27" s="12">
        <v>1.00071454188275</v>
      </c>
      <c r="AY27">
        <f t="shared" si="11"/>
        <v>1.01225711259577</v>
      </c>
      <c r="BA27">
        <v>2020</v>
      </c>
      <c r="BB27" s="12">
        <v>0.991371145250399</v>
      </c>
      <c r="BC27">
        <f t="shared" si="12"/>
        <v>0.991245344598078</v>
      </c>
      <c r="BE27">
        <v>2020</v>
      </c>
      <c r="BF27" s="12">
        <v>1.00907061705022</v>
      </c>
      <c r="BG27">
        <f t="shared" si="13"/>
        <v>1.02284487486164</v>
      </c>
    </row>
    <row r="28" spans="1:59">
      <c r="A28">
        <v>2021</v>
      </c>
      <c r="B28" s="12">
        <v>1.0311497383828</v>
      </c>
      <c r="C28">
        <f t="shared" si="14"/>
        <v>1.20313229753299</v>
      </c>
      <c r="E28">
        <v>2021</v>
      </c>
      <c r="F28" s="12">
        <v>1.00534129992475</v>
      </c>
      <c r="G28">
        <f t="shared" si="0"/>
        <v>1.01473588722107</v>
      </c>
      <c r="I28">
        <v>2021</v>
      </c>
      <c r="J28" s="12">
        <v>1.00055358075046</v>
      </c>
      <c r="K28">
        <f t="shared" si="1"/>
        <v>1.02619206023733</v>
      </c>
      <c r="M28">
        <v>2021</v>
      </c>
      <c r="N28" s="12">
        <v>1.01192573964364</v>
      </c>
      <c r="O28">
        <f t="shared" si="2"/>
        <v>1.07271027059418</v>
      </c>
      <c r="Q28">
        <v>2021</v>
      </c>
      <c r="R28" s="12">
        <v>0.99774671471395</v>
      </c>
      <c r="S28">
        <f t="shared" si="3"/>
        <v>0.947968865545614</v>
      </c>
      <c r="U28">
        <v>2021</v>
      </c>
      <c r="V28" s="12">
        <v>1.00535795350272</v>
      </c>
      <c r="W28">
        <f t="shared" si="4"/>
        <v>1.04972042940414</v>
      </c>
      <c r="Y28">
        <v>2021</v>
      </c>
      <c r="Z28" s="12">
        <v>0.997640112228377</v>
      </c>
      <c r="AA28">
        <f t="shared" si="5"/>
        <v>1.05314276073899</v>
      </c>
      <c r="AC28">
        <v>2021</v>
      </c>
      <c r="AD28" s="12">
        <v>0.998631348246863</v>
      </c>
      <c r="AE28">
        <f t="shared" si="6"/>
        <v>0.985524268498963</v>
      </c>
      <c r="AG28">
        <v>2021</v>
      </c>
      <c r="AH28" s="12">
        <v>0.998078838001906</v>
      </c>
      <c r="AI28">
        <f t="shared" si="7"/>
        <v>1.00994888931697</v>
      </c>
      <c r="AK28">
        <v>2021</v>
      </c>
      <c r="AL28" s="12">
        <v>1.03019443681076</v>
      </c>
      <c r="AM28">
        <f t="shared" si="8"/>
        <v>1.09441011182281</v>
      </c>
      <c r="AO28">
        <v>2021</v>
      </c>
      <c r="AP28" s="12">
        <v>1.03741575566239</v>
      </c>
      <c r="AQ28">
        <f t="shared" si="9"/>
        <v>1.25654879537297</v>
      </c>
      <c r="AS28">
        <v>2021</v>
      </c>
      <c r="AT28" s="12">
        <v>0.957286198801225</v>
      </c>
      <c r="AU28">
        <f t="shared" si="10"/>
        <v>1.04018096288171</v>
      </c>
      <c r="AW28">
        <v>2021</v>
      </c>
      <c r="AX28" s="12">
        <v>0.997776704008554</v>
      </c>
      <c r="AY28">
        <f t="shared" si="11"/>
        <v>1.01000656541502</v>
      </c>
      <c r="BA28">
        <v>2021</v>
      </c>
      <c r="BB28" s="12">
        <v>0.987273474177845</v>
      </c>
      <c r="BC28">
        <f t="shared" si="12"/>
        <v>0.978630235123959</v>
      </c>
      <c r="BE28">
        <v>2021</v>
      </c>
      <c r="BF28" s="12">
        <v>1.01085171083725</v>
      </c>
      <c r="BG28">
        <f t="shared" si="13"/>
        <v>1.033944491675</v>
      </c>
    </row>
    <row r="29" spans="1:59">
      <c r="A29">
        <v>2022</v>
      </c>
      <c r="B29" s="12">
        <v>0.99545025089957</v>
      </c>
      <c r="C29">
        <f t="shared" si="14"/>
        <v>1.19765834744459</v>
      </c>
      <c r="E29">
        <v>2022</v>
      </c>
      <c r="F29" s="12">
        <v>1.0080768569432</v>
      </c>
      <c r="G29">
        <f t="shared" si="0"/>
        <v>1.02293176381728</v>
      </c>
      <c r="I29">
        <v>2022</v>
      </c>
      <c r="J29" s="12">
        <v>0.978336721165089</v>
      </c>
      <c r="K29">
        <f t="shared" si="1"/>
        <v>1.00396137549823</v>
      </c>
      <c r="M29">
        <v>2022</v>
      </c>
      <c r="N29" s="12">
        <v>0.989692957284685</v>
      </c>
      <c r="O29">
        <f t="shared" si="2"/>
        <v>1.06165380001401</v>
      </c>
      <c r="Q29">
        <v>2022</v>
      </c>
      <c r="R29" s="12">
        <v>0.988954121229464</v>
      </c>
      <c r="S29">
        <f t="shared" si="3"/>
        <v>0.937497716378555</v>
      </c>
      <c r="U29">
        <v>2022</v>
      </c>
      <c r="V29" s="12">
        <v>1.00530831192094</v>
      </c>
      <c r="W29">
        <f t="shared" si="4"/>
        <v>1.0552926728732</v>
      </c>
      <c r="Y29">
        <v>2022</v>
      </c>
      <c r="Z29" s="12">
        <v>0.997175342227835</v>
      </c>
      <c r="AA29">
        <f t="shared" si="5"/>
        <v>1.05016799285467</v>
      </c>
      <c r="AC29">
        <v>2022</v>
      </c>
      <c r="AD29" s="12">
        <v>1.00033611059944</v>
      </c>
      <c r="AE29">
        <f t="shared" si="6"/>
        <v>0.985855513651612</v>
      </c>
      <c r="AG29">
        <v>2022</v>
      </c>
      <c r="AH29" s="12">
        <v>0.991664688159403</v>
      </c>
      <c r="AI29">
        <f t="shared" si="7"/>
        <v>1.00153065038144</v>
      </c>
      <c r="AK29">
        <v>2022</v>
      </c>
      <c r="AL29" s="12">
        <v>0.984468227457346</v>
      </c>
      <c r="AM29">
        <f t="shared" si="8"/>
        <v>1.07741198289759</v>
      </c>
      <c r="AO29">
        <v>2022</v>
      </c>
      <c r="AP29" s="12">
        <v>0.976842205243527</v>
      </c>
      <c r="AQ29">
        <f t="shared" si="9"/>
        <v>1.22744989626823</v>
      </c>
      <c r="AS29">
        <v>2022</v>
      </c>
      <c r="AT29" s="12">
        <v>0.976284737555916</v>
      </c>
      <c r="AU29">
        <f t="shared" si="10"/>
        <v>1.01551279835763</v>
      </c>
      <c r="AW29">
        <v>2022</v>
      </c>
      <c r="AX29" s="12">
        <v>1.00724508160198</v>
      </c>
      <c r="AY29">
        <f t="shared" si="11"/>
        <v>1.01732414539999</v>
      </c>
      <c r="BA29">
        <v>2022</v>
      </c>
      <c r="BB29" s="12">
        <v>1.00220970084819</v>
      </c>
      <c r="BC29">
        <f t="shared" si="12"/>
        <v>0.980792715184582</v>
      </c>
      <c r="BE29">
        <v>2022</v>
      </c>
      <c r="BF29" s="12">
        <v>1.0002067532483</v>
      </c>
      <c r="BG29">
        <f t="shared" si="13"/>
        <v>1.03415826305722</v>
      </c>
    </row>
    <row r="30" spans="1:59">
      <c r="A30">
        <v>2023</v>
      </c>
      <c r="B30" s="12">
        <v>0.9944842586827</v>
      </c>
      <c r="C30">
        <f t="shared" si="14"/>
        <v>1.19105237381358</v>
      </c>
      <c r="E30">
        <v>2023</v>
      </c>
      <c r="F30" s="12">
        <v>1.00524768462174</v>
      </c>
      <c r="G30">
        <f t="shared" si="0"/>
        <v>1.02829978710335</v>
      </c>
      <c r="I30">
        <v>2023</v>
      </c>
      <c r="J30" s="12">
        <v>1.02014071579031</v>
      </c>
      <c r="K30">
        <f t="shared" si="1"/>
        <v>1.02418187622659</v>
      </c>
      <c r="M30">
        <v>2023</v>
      </c>
      <c r="N30" s="12">
        <v>1.02692608993729</v>
      </c>
      <c r="O30">
        <f t="shared" si="2"/>
        <v>1.09023998571546</v>
      </c>
      <c r="Q30">
        <v>2023</v>
      </c>
      <c r="R30" s="12">
        <v>1.00493729207048</v>
      </c>
      <c r="S30">
        <f t="shared" si="3"/>
        <v>0.942126416419723</v>
      </c>
      <c r="U30">
        <v>2023</v>
      </c>
      <c r="V30" s="12">
        <v>1.01959055095962</v>
      </c>
      <c r="W30">
        <f t="shared" si="4"/>
        <v>1.07596643775844</v>
      </c>
      <c r="Y30">
        <v>2023</v>
      </c>
      <c r="Z30" s="12">
        <v>0.952951312364229</v>
      </c>
      <c r="AA30">
        <f t="shared" si="5"/>
        <v>1.00075896699376</v>
      </c>
      <c r="AC30">
        <v>2023</v>
      </c>
      <c r="AD30" s="12">
        <v>0.919848462393299</v>
      </c>
      <c r="AE30">
        <f t="shared" si="6"/>
        <v>0.906837678374391</v>
      </c>
      <c r="AG30">
        <v>2023</v>
      </c>
      <c r="AH30" s="12">
        <v>1.01356935030967</v>
      </c>
      <c r="AI30">
        <f t="shared" si="7"/>
        <v>1.01512077062234</v>
      </c>
      <c r="AK30">
        <v>2023</v>
      </c>
      <c r="AL30" s="12">
        <v>1.14689078991141</v>
      </c>
      <c r="AM30">
        <f t="shared" si="8"/>
        <v>1.23567388012544</v>
      </c>
      <c r="AO30">
        <v>2023</v>
      </c>
      <c r="AP30" s="12">
        <v>1.09757657376283</v>
      </c>
      <c r="AQ30">
        <f t="shared" si="9"/>
        <v>1.34722025161162</v>
      </c>
      <c r="AS30">
        <v>2023</v>
      </c>
      <c r="AT30" s="12">
        <v>1.03660755879713</v>
      </c>
      <c r="AU30">
        <f t="shared" si="10"/>
        <v>1.05268824283275</v>
      </c>
      <c r="AW30">
        <v>2023</v>
      </c>
      <c r="AX30" s="12">
        <v>1.01234219795462</v>
      </c>
      <c r="AY30">
        <f t="shared" si="11"/>
        <v>1.02988016138653</v>
      </c>
      <c r="BA30">
        <v>2023</v>
      </c>
      <c r="BB30" s="12">
        <v>1.01950722043715</v>
      </c>
      <c r="BC30">
        <f t="shared" si="12"/>
        <v>0.999925254882834</v>
      </c>
      <c r="BE30">
        <v>2023</v>
      </c>
      <c r="BF30" s="12">
        <v>0.995725224309124</v>
      </c>
      <c r="BG30">
        <f t="shared" si="13"/>
        <v>1.02973746845378</v>
      </c>
    </row>
    <row r="33" spans="1:59">
      <c r="A33" s="8" t="s">
        <v>0</v>
      </c>
      <c r="B33" s="9" t="s">
        <v>2</v>
      </c>
      <c r="C33" t="s">
        <v>20</v>
      </c>
      <c r="E33" s="8" t="s">
        <v>0</v>
      </c>
      <c r="F33" s="9" t="s">
        <v>2</v>
      </c>
      <c r="G33" t="s">
        <v>21</v>
      </c>
      <c r="I33" s="8" t="s">
        <v>0</v>
      </c>
      <c r="J33" s="9" t="s">
        <v>2</v>
      </c>
      <c r="K33" t="s">
        <v>22</v>
      </c>
      <c r="M33" s="8" t="s">
        <v>0</v>
      </c>
      <c r="N33" s="9" t="s">
        <v>2</v>
      </c>
      <c r="O33" t="s">
        <v>23</v>
      </c>
      <c r="Q33" s="8" t="s">
        <v>0</v>
      </c>
      <c r="R33" s="9" t="s">
        <v>2</v>
      </c>
      <c r="S33" t="s">
        <v>24</v>
      </c>
      <c r="U33" s="8" t="s">
        <v>0</v>
      </c>
      <c r="V33" s="9" t="s">
        <v>2</v>
      </c>
      <c r="W33" t="s">
        <v>25</v>
      </c>
      <c r="Y33" s="8" t="s">
        <v>0</v>
      </c>
      <c r="Z33" s="9" t="s">
        <v>2</v>
      </c>
      <c r="AA33" t="s">
        <v>26</v>
      </c>
      <c r="AC33" s="8" t="s">
        <v>0</v>
      </c>
      <c r="AD33" s="9" t="s">
        <v>2</v>
      </c>
      <c r="AE33" t="s">
        <v>27</v>
      </c>
      <c r="AG33" s="8" t="s">
        <v>0</v>
      </c>
      <c r="AH33" s="9" t="s">
        <v>2</v>
      </c>
      <c r="AI33" t="s">
        <v>28</v>
      </c>
      <c r="AK33" s="8" t="s">
        <v>0</v>
      </c>
      <c r="AL33" s="9" t="s">
        <v>2</v>
      </c>
      <c r="AM33" t="s">
        <v>29</v>
      </c>
      <c r="AO33" s="8" t="s">
        <v>0</v>
      </c>
      <c r="AP33" s="9" t="s">
        <v>2</v>
      </c>
      <c r="AQ33" t="s">
        <v>30</v>
      </c>
      <c r="AS33" s="8" t="s">
        <v>0</v>
      </c>
      <c r="AT33" s="9" t="s">
        <v>2</v>
      </c>
      <c r="AU33" t="s">
        <v>31</v>
      </c>
      <c r="AW33" s="8" t="s">
        <v>0</v>
      </c>
      <c r="AX33" s="9" t="s">
        <v>2</v>
      </c>
      <c r="AY33" t="s">
        <v>32</v>
      </c>
      <c r="BA33" s="8" t="s">
        <v>0</v>
      </c>
      <c r="BB33" s="9" t="s">
        <v>2</v>
      </c>
      <c r="BC33" t="s">
        <v>33</v>
      </c>
      <c r="BE33" s="8" t="s">
        <v>0</v>
      </c>
      <c r="BF33" s="9" t="s">
        <v>2</v>
      </c>
      <c r="BG33" t="s">
        <v>34</v>
      </c>
    </row>
    <row r="34" spans="1:59">
      <c r="A34" s="10">
        <v>1995</v>
      </c>
      <c r="B34" s="11">
        <v>1</v>
      </c>
      <c r="C34">
        <f>B34</f>
        <v>1</v>
      </c>
      <c r="E34" s="10">
        <v>1995</v>
      </c>
      <c r="F34" s="11">
        <v>1</v>
      </c>
      <c r="G34">
        <f>F34</f>
        <v>1</v>
      </c>
      <c r="I34" s="10">
        <v>1995</v>
      </c>
      <c r="J34" s="11">
        <v>1</v>
      </c>
      <c r="K34">
        <f>J34</f>
        <v>1</v>
      </c>
      <c r="M34" s="10">
        <v>1995</v>
      </c>
      <c r="N34" s="11">
        <v>1</v>
      </c>
      <c r="O34">
        <f>N34</f>
        <v>1</v>
      </c>
      <c r="Q34" s="10">
        <v>1995</v>
      </c>
      <c r="R34" s="11">
        <v>1</v>
      </c>
      <c r="S34">
        <f>R34</f>
        <v>1</v>
      </c>
      <c r="U34" s="10">
        <v>1995</v>
      </c>
      <c r="V34" s="11">
        <v>1</v>
      </c>
      <c r="W34">
        <f>V34</f>
        <v>1</v>
      </c>
      <c r="Y34" s="10">
        <v>1995</v>
      </c>
      <c r="Z34" s="11">
        <v>1</v>
      </c>
      <c r="AA34">
        <f>Z34</f>
        <v>1</v>
      </c>
      <c r="AC34" s="10">
        <v>1995</v>
      </c>
      <c r="AD34" s="11">
        <v>1</v>
      </c>
      <c r="AE34">
        <f>AD34</f>
        <v>1</v>
      </c>
      <c r="AG34" s="10">
        <v>1995</v>
      </c>
      <c r="AH34" s="11">
        <v>1</v>
      </c>
      <c r="AI34">
        <f>AH34</f>
        <v>1</v>
      </c>
      <c r="AK34" s="10">
        <v>1995</v>
      </c>
      <c r="AL34" s="11">
        <v>1</v>
      </c>
      <c r="AM34">
        <f>AL34</f>
        <v>1</v>
      </c>
      <c r="AO34" s="10">
        <v>1995</v>
      </c>
      <c r="AP34" s="11">
        <v>1</v>
      </c>
      <c r="AQ34">
        <f>AP34</f>
        <v>1</v>
      </c>
      <c r="AS34" s="10">
        <v>1995</v>
      </c>
      <c r="AT34" s="11">
        <v>1</v>
      </c>
      <c r="AU34">
        <f>AT34</f>
        <v>1</v>
      </c>
      <c r="AW34" s="10">
        <v>1995</v>
      </c>
      <c r="AX34" s="11">
        <v>1</v>
      </c>
      <c r="AY34">
        <f>AX34</f>
        <v>1</v>
      </c>
      <c r="BA34" s="10">
        <v>1995</v>
      </c>
      <c r="BB34" s="11">
        <v>1</v>
      </c>
      <c r="BC34">
        <f>BB34</f>
        <v>1</v>
      </c>
      <c r="BE34" s="10">
        <v>1995</v>
      </c>
      <c r="BF34" s="11">
        <v>1</v>
      </c>
      <c r="BG34">
        <f>BF34</f>
        <v>1</v>
      </c>
    </row>
    <row r="35" spans="1:59">
      <c r="A35">
        <v>1996</v>
      </c>
      <c r="B35" s="12">
        <v>0.99816512199259</v>
      </c>
      <c r="C35">
        <f t="shared" ref="C35:C62" si="15">C34*B35</f>
        <v>0.99816512199259</v>
      </c>
      <c r="E35">
        <v>1996</v>
      </c>
      <c r="F35" s="12">
        <v>1.03465066276153</v>
      </c>
      <c r="G35">
        <f t="shared" ref="G35:G62" si="16">G34*F35</f>
        <v>1.03465066276153</v>
      </c>
      <c r="I35">
        <v>1996</v>
      </c>
      <c r="J35" s="12">
        <v>0.89275608685069</v>
      </c>
      <c r="K35">
        <f t="shared" ref="K35:K62" si="17">K34*J35</f>
        <v>0.89275608685069</v>
      </c>
      <c r="M35">
        <v>1996</v>
      </c>
      <c r="N35" s="12">
        <v>0.96904956708446</v>
      </c>
      <c r="O35">
        <f t="shared" ref="O35:O62" si="18">O34*N35</f>
        <v>0.96904956708446</v>
      </c>
      <c r="Q35">
        <v>1996</v>
      </c>
      <c r="R35" s="12">
        <v>0.999825075398519</v>
      </c>
      <c r="S35">
        <f t="shared" ref="S35:S62" si="19">S34*R35</f>
        <v>0.999825075398519</v>
      </c>
      <c r="U35">
        <v>1996</v>
      </c>
      <c r="V35" s="12">
        <v>1.00156477760463</v>
      </c>
      <c r="W35">
        <f t="shared" ref="W35:W62" si="20">W34*V35</f>
        <v>1.00156477760463</v>
      </c>
      <c r="Y35">
        <v>1996</v>
      </c>
      <c r="Z35" s="12">
        <v>0.995866244287992</v>
      </c>
      <c r="AA35">
        <f t="shared" ref="AA35:AA62" si="21">AA34*Z35</f>
        <v>0.995866244287992</v>
      </c>
      <c r="AC35">
        <v>1996</v>
      </c>
      <c r="AD35" s="12">
        <v>0.980096016241441</v>
      </c>
      <c r="AE35">
        <f t="shared" ref="AE35:AE62" si="22">AE34*AD35</f>
        <v>0.980096016241441</v>
      </c>
      <c r="AG35">
        <v>1996</v>
      </c>
      <c r="AH35" s="12">
        <v>0.999927180689647</v>
      </c>
      <c r="AI35">
        <f t="shared" ref="AI35:AI62" si="23">AI34*AH35</f>
        <v>0.999927180689647</v>
      </c>
      <c r="AK35">
        <v>1996</v>
      </c>
      <c r="AL35" s="12">
        <v>1.01749859774972</v>
      </c>
      <c r="AM35">
        <f t="shared" ref="AM35:AM62" si="24">AM34*AL35</f>
        <v>1.01749859774972</v>
      </c>
      <c r="AO35">
        <v>1996</v>
      </c>
      <c r="AP35" s="12">
        <v>0.96827566416916</v>
      </c>
      <c r="AQ35">
        <f t="shared" ref="AQ35:AQ62" si="25">AQ34*AP35</f>
        <v>0.96827566416916</v>
      </c>
      <c r="AS35">
        <v>1996</v>
      </c>
      <c r="AT35" s="12">
        <v>0.997187267113123</v>
      </c>
      <c r="AU35">
        <f t="shared" ref="AU35:AU62" si="26">AU34*AT35</f>
        <v>0.997187267113123</v>
      </c>
      <c r="AW35">
        <v>1996</v>
      </c>
      <c r="AX35" s="12">
        <v>0.987321625866323</v>
      </c>
      <c r="AY35">
        <f t="shared" ref="AY35:AY62" si="27">AY34*AX35</f>
        <v>0.987321625866323</v>
      </c>
      <c r="BA35">
        <v>1996</v>
      </c>
      <c r="BB35" s="12">
        <v>0.998241451836875</v>
      </c>
      <c r="BC35">
        <f t="shared" ref="BC35:BC62" si="28">BC34*BB35</f>
        <v>0.998241451836875</v>
      </c>
      <c r="BE35">
        <v>1996</v>
      </c>
      <c r="BF35" s="12">
        <v>1.0016686124858</v>
      </c>
      <c r="BG35">
        <f t="shared" ref="BG35:BG62" si="29">BG34*BF35</f>
        <v>1.0016686124858</v>
      </c>
    </row>
    <row r="36" spans="1:59">
      <c r="A36">
        <v>1997</v>
      </c>
      <c r="B36" s="12">
        <v>0.992649315036261</v>
      </c>
      <c r="C36">
        <f t="shared" si="15"/>
        <v>0.990827924639031</v>
      </c>
      <c r="E36">
        <v>1997</v>
      </c>
      <c r="F36" s="12">
        <v>0.986539225331483</v>
      </c>
      <c r="G36">
        <f t="shared" si="16"/>
        <v>1.02072346332946</v>
      </c>
      <c r="I36">
        <v>1997</v>
      </c>
      <c r="J36" s="12">
        <v>0.939830878765476</v>
      </c>
      <c r="K36">
        <f t="shared" si="17"/>
        <v>0.839039737628111</v>
      </c>
      <c r="M36">
        <v>1997</v>
      </c>
      <c r="N36" s="12">
        <v>0.95969031340205</v>
      </c>
      <c r="O36">
        <f t="shared" si="18"/>
        <v>0.929987482737406</v>
      </c>
      <c r="Q36">
        <v>1997</v>
      </c>
      <c r="R36" s="12">
        <v>0.999285347704677</v>
      </c>
      <c r="S36">
        <f t="shared" si="19"/>
        <v>0.999110548113465</v>
      </c>
      <c r="U36">
        <v>1997</v>
      </c>
      <c r="V36" s="12">
        <v>1.00215209490552</v>
      </c>
      <c r="W36">
        <f t="shared" si="20"/>
        <v>1.00372024006007</v>
      </c>
      <c r="Y36">
        <v>1997</v>
      </c>
      <c r="Z36" s="12">
        <v>0.978555888365206</v>
      </c>
      <c r="AA36">
        <f t="shared" si="21"/>
        <v>0.974510777372157</v>
      </c>
      <c r="AC36">
        <v>1997</v>
      </c>
      <c r="AD36" s="12">
        <v>0.994250287111055</v>
      </c>
      <c r="AE36">
        <f t="shared" si="22"/>
        <v>0.974460745544453</v>
      </c>
      <c r="AG36">
        <v>1997</v>
      </c>
      <c r="AH36" s="12">
        <v>0.999098670781527</v>
      </c>
      <c r="AI36">
        <f t="shared" si="23"/>
        <v>0.999025917105347</v>
      </c>
      <c r="AK36">
        <v>1997</v>
      </c>
      <c r="AL36" s="12">
        <v>0.985698338367415</v>
      </c>
      <c r="AM36">
        <f t="shared" si="24"/>
        <v>1.00294667709308</v>
      </c>
      <c r="AO36">
        <v>1997</v>
      </c>
      <c r="AP36" s="12">
        <v>0.982217570847229</v>
      </c>
      <c r="AQ36">
        <f t="shared" si="25"/>
        <v>0.95105737077072</v>
      </c>
      <c r="AS36">
        <v>1997</v>
      </c>
      <c r="AT36" s="12">
        <v>0.996770170580808</v>
      </c>
      <c r="AU36">
        <f t="shared" si="26"/>
        <v>0.993966522341357</v>
      </c>
      <c r="AW36">
        <v>1997</v>
      </c>
      <c r="AX36" s="12">
        <v>1.00155069353838</v>
      </c>
      <c r="AY36">
        <f t="shared" si="27"/>
        <v>0.988852659131858</v>
      </c>
      <c r="BA36">
        <v>1997</v>
      </c>
      <c r="BB36" s="12">
        <v>0.99915800477066</v>
      </c>
      <c r="BC36">
        <f t="shared" si="28"/>
        <v>0.997400937296699</v>
      </c>
      <c r="BE36">
        <v>1997</v>
      </c>
      <c r="BF36" s="12">
        <v>0.982701778421938</v>
      </c>
      <c r="BG36">
        <f t="shared" si="29"/>
        <v>0.984341526879234</v>
      </c>
    </row>
    <row r="37" spans="1:59">
      <c r="A37">
        <v>1998</v>
      </c>
      <c r="B37" s="12">
        <v>0.995920850352402</v>
      </c>
      <c r="C37">
        <f t="shared" si="15"/>
        <v>0.986786189259409</v>
      </c>
      <c r="E37">
        <v>1998</v>
      </c>
      <c r="F37" s="12">
        <v>0.992797115242629</v>
      </c>
      <c r="G37">
        <f t="shared" si="16"/>
        <v>1.01337130985395</v>
      </c>
      <c r="I37">
        <v>1998</v>
      </c>
      <c r="J37" s="12">
        <v>0.983029656803584</v>
      </c>
      <c r="K37">
        <f t="shared" si="17"/>
        <v>0.824800945325131</v>
      </c>
      <c r="M37">
        <v>1998</v>
      </c>
      <c r="N37" s="12">
        <v>1.0807863549519</v>
      </c>
      <c r="O37">
        <f t="shared" si="18"/>
        <v>1.00511778161865</v>
      </c>
      <c r="Q37">
        <v>1998</v>
      </c>
      <c r="R37" s="12">
        <v>0.997331098356187</v>
      </c>
      <c r="S37">
        <f t="shared" si="19"/>
        <v>0.996444020329254</v>
      </c>
      <c r="U37">
        <v>1998</v>
      </c>
      <c r="V37" s="12">
        <v>1.00182359833817</v>
      </c>
      <c r="W37">
        <f t="shared" si="20"/>
        <v>1.00555062262183</v>
      </c>
      <c r="Y37">
        <v>1998</v>
      </c>
      <c r="Z37" s="12">
        <v>0.963101142812118</v>
      </c>
      <c r="AA37">
        <f t="shared" si="21"/>
        <v>0.93855244336985</v>
      </c>
      <c r="AC37">
        <v>1998</v>
      </c>
      <c r="AD37" s="12">
        <v>0.99697326664233</v>
      </c>
      <c r="AE37">
        <f t="shared" si="22"/>
        <v>0.971511312700174</v>
      </c>
      <c r="AG37">
        <v>1998</v>
      </c>
      <c r="AH37" s="12">
        <v>1.00158437919364</v>
      </c>
      <c r="AI37">
        <f t="shared" si="23"/>
        <v>1.00060875298231</v>
      </c>
      <c r="AK37">
        <v>1998</v>
      </c>
      <c r="AL37" s="12">
        <v>0.98808808157364</v>
      </c>
      <c r="AM37">
        <f t="shared" si="24"/>
        <v>0.990999658089555</v>
      </c>
      <c r="AO37">
        <v>1998</v>
      </c>
      <c r="AP37" s="12">
        <v>0.992910796142796</v>
      </c>
      <c r="AQ37">
        <f t="shared" si="25"/>
        <v>0.94431513118943</v>
      </c>
      <c r="AS37">
        <v>1998</v>
      </c>
      <c r="AT37" s="12">
        <v>0.990561546948696</v>
      </c>
      <c r="AU37">
        <f t="shared" si="26"/>
        <v>0.984585015985671</v>
      </c>
      <c r="AW37">
        <v>1998</v>
      </c>
      <c r="AX37" s="12">
        <v>0.998817040697864</v>
      </c>
      <c r="AY37">
        <f t="shared" si="27"/>
        <v>0.987682886680296</v>
      </c>
      <c r="BA37">
        <v>1998</v>
      </c>
      <c r="BB37" s="12">
        <v>0.999726164063296</v>
      </c>
      <c r="BC37">
        <f t="shared" si="28"/>
        <v>0.997127813076764</v>
      </c>
      <c r="BE37">
        <v>1998</v>
      </c>
      <c r="BF37" s="12">
        <v>0.967473726535342</v>
      </c>
      <c r="BG37">
        <f t="shared" si="29"/>
        <v>0.952324565193341</v>
      </c>
    </row>
    <row r="38" spans="1:59">
      <c r="A38">
        <v>1999</v>
      </c>
      <c r="B38" s="12">
        <v>0.997198693094369</v>
      </c>
      <c r="C38">
        <f t="shared" si="15"/>
        <v>0.984021898293055</v>
      </c>
      <c r="E38">
        <v>1999</v>
      </c>
      <c r="F38" s="12">
        <v>0.980878846105317</v>
      </c>
      <c r="G38">
        <f t="shared" si="16"/>
        <v>0.99399448108578</v>
      </c>
      <c r="I38">
        <v>1999</v>
      </c>
      <c r="J38" s="12">
        <v>1.07664880244912</v>
      </c>
      <c r="K38">
        <f t="shared" si="17"/>
        <v>0.888020950043206</v>
      </c>
      <c r="M38">
        <v>1999</v>
      </c>
      <c r="N38" s="12">
        <v>0.940289377571415</v>
      </c>
      <c r="O38">
        <f t="shared" si="18"/>
        <v>0.945101573264165</v>
      </c>
      <c r="Q38">
        <v>1999</v>
      </c>
      <c r="R38" s="12">
        <v>1.00339385957589</v>
      </c>
      <c r="S38">
        <f t="shared" si="19"/>
        <v>0.99982581140949</v>
      </c>
      <c r="U38">
        <v>1999</v>
      </c>
      <c r="V38" s="12">
        <v>0.996975228709585</v>
      </c>
      <c r="W38">
        <f t="shared" si="20"/>
        <v>1.00250906196746</v>
      </c>
      <c r="Y38">
        <v>1999</v>
      </c>
      <c r="Z38" s="12">
        <v>1.01395833136823</v>
      </c>
      <c r="AA38">
        <f t="shared" si="21"/>
        <v>0.951653069380864</v>
      </c>
      <c r="AC38">
        <v>1999</v>
      </c>
      <c r="AD38" s="12">
        <v>0.999638584237998</v>
      </c>
      <c r="AE38">
        <f t="shared" si="22"/>
        <v>0.9711601931988</v>
      </c>
      <c r="AG38">
        <v>1999</v>
      </c>
      <c r="AH38" s="12">
        <v>0.996180082841995</v>
      </c>
      <c r="AI38">
        <f t="shared" si="23"/>
        <v>0.996786510438344</v>
      </c>
      <c r="AK38">
        <v>1999</v>
      </c>
      <c r="AL38" s="12">
        <v>1.00379393855512</v>
      </c>
      <c r="AM38">
        <f t="shared" si="24"/>
        <v>0.994759449900494</v>
      </c>
      <c r="AO38">
        <v>1999</v>
      </c>
      <c r="AP38" s="12">
        <v>1.00173966878367</v>
      </c>
      <c r="AQ38">
        <f t="shared" si="25"/>
        <v>0.945957926745108</v>
      </c>
      <c r="AS38">
        <v>1999</v>
      </c>
      <c r="AT38" s="12">
        <v>0.997517045538974</v>
      </c>
      <c r="AU38">
        <f t="shared" si="26"/>
        <v>0.98214033622797</v>
      </c>
      <c r="AW38">
        <v>1999</v>
      </c>
      <c r="AX38" s="12">
        <v>1.00239507678152</v>
      </c>
      <c r="AY38">
        <f t="shared" si="27"/>
        <v>0.99004846302969</v>
      </c>
      <c r="BA38">
        <v>1999</v>
      </c>
      <c r="BB38" s="12">
        <v>1.00010340940527</v>
      </c>
      <c r="BC38">
        <f t="shared" si="28"/>
        <v>0.997230925470896</v>
      </c>
      <c r="BE38">
        <v>1999</v>
      </c>
      <c r="BF38" s="12">
        <v>0.964614464256902</v>
      </c>
      <c r="BG38">
        <f t="shared" si="29"/>
        <v>0.918626050252662</v>
      </c>
    </row>
    <row r="39" spans="1:59">
      <c r="A39">
        <v>2000</v>
      </c>
      <c r="B39" s="12">
        <v>1.00806821171117</v>
      </c>
      <c r="C39">
        <f t="shared" si="15"/>
        <v>0.991961195296909</v>
      </c>
      <c r="E39">
        <v>2000</v>
      </c>
      <c r="F39" s="12">
        <v>0.971267844494008</v>
      </c>
      <c r="G39">
        <f t="shared" si="16"/>
        <v>0.965434877083126</v>
      </c>
      <c r="I39">
        <v>2000</v>
      </c>
      <c r="J39" s="12">
        <v>1.01717259590208</v>
      </c>
      <c r="K39">
        <f t="shared" si="17"/>
        <v>0.903270574970878</v>
      </c>
      <c r="M39">
        <v>2000</v>
      </c>
      <c r="N39" s="12">
        <v>0.974610976783186</v>
      </c>
      <c r="O39">
        <f t="shared" si="18"/>
        <v>0.921106367478314</v>
      </c>
      <c r="Q39">
        <v>2000</v>
      </c>
      <c r="R39" s="12">
        <v>1.00001228493933</v>
      </c>
      <c r="S39">
        <f t="shared" si="19"/>
        <v>0.999838094208922</v>
      </c>
      <c r="U39">
        <v>2000</v>
      </c>
      <c r="V39" s="12">
        <v>1.00353382055444</v>
      </c>
      <c r="W39">
        <f t="shared" si="20"/>
        <v>1.00605174909665</v>
      </c>
      <c r="Y39">
        <v>2000</v>
      </c>
      <c r="Z39" s="12">
        <v>0.996373664120738</v>
      </c>
      <c r="AA39">
        <f t="shared" si="21"/>
        <v>0.948202055710759</v>
      </c>
      <c r="AC39">
        <v>2000</v>
      </c>
      <c r="AD39" s="12">
        <v>1.00217674207211</v>
      </c>
      <c r="AE39">
        <f t="shared" si="22"/>
        <v>0.973274158450094</v>
      </c>
      <c r="AG39">
        <v>2000</v>
      </c>
      <c r="AH39" s="12">
        <v>0.997212100959349</v>
      </c>
      <c r="AI39">
        <f t="shared" si="23"/>
        <v>0.994007570282159</v>
      </c>
      <c r="AK39">
        <v>2000</v>
      </c>
      <c r="AL39" s="12">
        <v>1.00385115712698</v>
      </c>
      <c r="AM39">
        <f t="shared" si="24"/>
        <v>0.998590424845607</v>
      </c>
      <c r="AO39">
        <v>2000</v>
      </c>
      <c r="AP39" s="12">
        <v>1.02041049090121</v>
      </c>
      <c r="AQ39">
        <f t="shared" si="25"/>
        <v>0.965265392401868</v>
      </c>
      <c r="AS39">
        <v>2000</v>
      </c>
      <c r="AT39" s="12">
        <v>0.994203873449412</v>
      </c>
      <c r="AU39">
        <f t="shared" si="26"/>
        <v>0.976447726548755</v>
      </c>
      <c r="AW39">
        <v>2000</v>
      </c>
      <c r="AX39" s="12">
        <v>1.00113112713732</v>
      </c>
      <c r="AY39">
        <f t="shared" si="27"/>
        <v>0.991168333713485</v>
      </c>
      <c r="BA39">
        <v>2000</v>
      </c>
      <c r="BB39" s="12">
        <v>1.00092193185662</v>
      </c>
      <c r="BC39">
        <f t="shared" si="28"/>
        <v>0.998150304429493</v>
      </c>
      <c r="BE39">
        <v>2000</v>
      </c>
      <c r="BF39" s="12">
        <v>0.974188787723569</v>
      </c>
      <c r="BG39">
        <f t="shared" si="29"/>
        <v>0.89491519826693</v>
      </c>
    </row>
    <row r="40" spans="1:59">
      <c r="A40">
        <v>2001</v>
      </c>
      <c r="B40" s="12">
        <v>0.999879012327952</v>
      </c>
      <c r="C40">
        <f t="shared" si="15"/>
        <v>0.991841180221128</v>
      </c>
      <c r="E40">
        <v>2001</v>
      </c>
      <c r="F40" s="12">
        <v>1.00254271757214</v>
      </c>
      <c r="G40">
        <f t="shared" si="16"/>
        <v>0.967889705309839</v>
      </c>
      <c r="I40">
        <v>2001</v>
      </c>
      <c r="J40" s="12">
        <v>0.977319711277107</v>
      </c>
      <c r="K40">
        <f t="shared" si="17"/>
        <v>0.882784137535644</v>
      </c>
      <c r="M40">
        <v>2001</v>
      </c>
      <c r="N40" s="12">
        <v>0.998222136666564</v>
      </c>
      <c r="O40">
        <f t="shared" si="18"/>
        <v>0.919468766241379</v>
      </c>
      <c r="Q40">
        <v>2001</v>
      </c>
      <c r="R40" s="12">
        <v>0.998623624225054</v>
      </c>
      <c r="S40">
        <f t="shared" si="19"/>
        <v>0.998461941277185</v>
      </c>
      <c r="U40">
        <v>2001</v>
      </c>
      <c r="V40" s="12">
        <v>0.999991820619629</v>
      </c>
      <c r="W40">
        <f t="shared" si="20"/>
        <v>1.00604352021672</v>
      </c>
      <c r="Y40">
        <v>2001</v>
      </c>
      <c r="Z40" s="12">
        <v>1.06119038820766</v>
      </c>
      <c r="AA40">
        <f t="shared" si="21"/>
        <v>1.006222907599</v>
      </c>
      <c r="AC40">
        <v>2001</v>
      </c>
      <c r="AD40" s="12">
        <v>0.992732616639476</v>
      </c>
      <c r="AE40">
        <f t="shared" si="22"/>
        <v>0.966201002025745</v>
      </c>
      <c r="AG40">
        <v>2001</v>
      </c>
      <c r="AH40" s="12">
        <v>0.99943439063585</v>
      </c>
      <c r="AI40">
        <f t="shared" si="23"/>
        <v>0.993445350292371</v>
      </c>
      <c r="AK40">
        <v>2001</v>
      </c>
      <c r="AL40" s="12">
        <v>1.01728234644777</v>
      </c>
      <c r="AM40">
        <f t="shared" si="24"/>
        <v>1.01584841052722</v>
      </c>
      <c r="AO40">
        <v>2001</v>
      </c>
      <c r="AP40" s="12">
        <v>1.04739555009434</v>
      </c>
      <c r="AQ40">
        <f t="shared" si="25"/>
        <v>1.01101467666178</v>
      </c>
      <c r="AS40">
        <v>2001</v>
      </c>
      <c r="AT40" s="12">
        <v>0.998450140507833</v>
      </c>
      <c r="AU40">
        <f t="shared" si="26"/>
        <v>0.974934369771159</v>
      </c>
      <c r="AW40">
        <v>2001</v>
      </c>
      <c r="AX40" s="12">
        <v>0.993864152265259</v>
      </c>
      <c r="AY40">
        <f t="shared" si="27"/>
        <v>0.985086675738322</v>
      </c>
      <c r="BA40">
        <v>2001</v>
      </c>
      <c r="BB40" s="12">
        <v>0.998409131452007</v>
      </c>
      <c r="BC40">
        <f t="shared" si="28"/>
        <v>0.996562378504006</v>
      </c>
      <c r="BE40">
        <v>2001</v>
      </c>
      <c r="BF40" s="12">
        <v>0.991874158181317</v>
      </c>
      <c r="BG40">
        <f t="shared" si="29"/>
        <v>0.887643258924678</v>
      </c>
    </row>
    <row r="41" spans="1:59">
      <c r="A41">
        <v>2002</v>
      </c>
      <c r="B41" s="12">
        <v>0.997296675143828</v>
      </c>
      <c r="C41">
        <f t="shared" si="15"/>
        <v>0.989159911305261</v>
      </c>
      <c r="E41">
        <v>2002</v>
      </c>
      <c r="F41" s="12">
        <v>0.98985223677738</v>
      </c>
      <c r="G41">
        <f t="shared" si="16"/>
        <v>0.958067789754743</v>
      </c>
      <c r="I41">
        <v>2002</v>
      </c>
      <c r="J41" s="12">
        <v>1.0347437272332</v>
      </c>
      <c r="K41">
        <f t="shared" si="17"/>
        <v>0.913455348815982</v>
      </c>
      <c r="M41">
        <v>2002</v>
      </c>
      <c r="N41" s="12">
        <v>0.998894980679128</v>
      </c>
      <c r="O41">
        <f t="shared" si="18"/>
        <v>0.918452735489744</v>
      </c>
      <c r="Q41">
        <v>2002</v>
      </c>
      <c r="R41" s="12">
        <v>0.99967609963513</v>
      </c>
      <c r="S41">
        <f t="shared" si="19"/>
        <v>0.998138539090096</v>
      </c>
      <c r="U41">
        <v>2002</v>
      </c>
      <c r="V41" s="12">
        <v>0.996678004726879</v>
      </c>
      <c r="W41">
        <f t="shared" si="20"/>
        <v>1.00270144839801</v>
      </c>
      <c r="Y41">
        <v>2002</v>
      </c>
      <c r="Z41" s="12">
        <v>0.99401830719822</v>
      </c>
      <c r="AA41">
        <f t="shared" si="21"/>
        <v>1.00020399127563</v>
      </c>
      <c r="AC41">
        <v>2002</v>
      </c>
      <c r="AD41" s="12">
        <v>1.03138225423597</v>
      </c>
      <c r="AE41">
        <f t="shared" si="22"/>
        <v>0.996522567514371</v>
      </c>
      <c r="AG41">
        <v>2002</v>
      </c>
      <c r="AH41" s="12">
        <v>0.999658589537981</v>
      </c>
      <c r="AI41">
        <f t="shared" si="23"/>
        <v>0.993106177656338</v>
      </c>
      <c r="AK41">
        <v>2002</v>
      </c>
      <c r="AL41" s="12">
        <v>1.00595910699248</v>
      </c>
      <c r="AM41">
        <f t="shared" si="24"/>
        <v>1.02190195989369</v>
      </c>
      <c r="AO41">
        <v>2002</v>
      </c>
      <c r="AP41" s="12">
        <v>1.03050730343951</v>
      </c>
      <c r="AQ41">
        <f t="shared" si="25"/>
        <v>1.0418580081845</v>
      </c>
      <c r="AS41">
        <v>2002</v>
      </c>
      <c r="AT41" s="12">
        <v>1.00354255016223</v>
      </c>
      <c r="AU41">
        <f t="shared" si="26"/>
        <v>0.978388123680956</v>
      </c>
      <c r="AW41">
        <v>2002</v>
      </c>
      <c r="AX41" s="12">
        <v>0.998282152416938</v>
      </c>
      <c r="AY41">
        <f t="shared" si="27"/>
        <v>0.983394446973298</v>
      </c>
      <c r="BA41">
        <v>2002</v>
      </c>
      <c r="BB41" s="12">
        <v>1.00008713746067</v>
      </c>
      <c r="BC41">
        <f t="shared" si="28"/>
        <v>0.996649216419072</v>
      </c>
      <c r="BE41">
        <v>2002</v>
      </c>
      <c r="BF41" s="12">
        <v>1.00252917918993</v>
      </c>
      <c r="BG41">
        <f t="shared" si="29"/>
        <v>0.889888267783234</v>
      </c>
    </row>
    <row r="42" spans="1:59">
      <c r="A42">
        <v>2003</v>
      </c>
      <c r="B42" s="12">
        <v>0.998303279822054</v>
      </c>
      <c r="C42">
        <f t="shared" si="15"/>
        <v>0.987481583724534</v>
      </c>
      <c r="E42">
        <v>2003</v>
      </c>
      <c r="F42" s="12">
        <v>1.04559851566975</v>
      </c>
      <c r="G42">
        <f t="shared" si="16"/>
        <v>1.00175425887856</v>
      </c>
      <c r="I42">
        <v>2003</v>
      </c>
      <c r="J42" s="12">
        <v>1.03533897892327</v>
      </c>
      <c r="K42">
        <f t="shared" si="17"/>
        <v>0.945735928135135</v>
      </c>
      <c r="M42">
        <v>2003</v>
      </c>
      <c r="N42" s="12">
        <v>0.978010827026262</v>
      </c>
      <c r="O42">
        <f t="shared" si="18"/>
        <v>0.898256719420858</v>
      </c>
      <c r="Q42">
        <v>2003</v>
      </c>
      <c r="R42" s="12">
        <v>1.00027865985576</v>
      </c>
      <c r="S42">
        <f t="shared" si="19"/>
        <v>0.998416680231432</v>
      </c>
      <c r="U42">
        <v>2003</v>
      </c>
      <c r="V42" s="12">
        <v>0.990563915760819</v>
      </c>
      <c r="W42">
        <f t="shared" si="20"/>
        <v>0.993239873064175</v>
      </c>
      <c r="Y42">
        <v>2003</v>
      </c>
      <c r="Z42" s="12">
        <v>0.981131144120881</v>
      </c>
      <c r="AA42">
        <f t="shared" si="21"/>
        <v>0.981331286314531</v>
      </c>
      <c r="AC42">
        <v>2003</v>
      </c>
      <c r="AD42" s="12">
        <v>1.03002739912577</v>
      </c>
      <c r="AE42">
        <f t="shared" si="22"/>
        <v>1.02644554838697</v>
      </c>
      <c r="AG42">
        <v>2003</v>
      </c>
      <c r="AH42" s="12">
        <v>1.00511089003977</v>
      </c>
      <c r="AI42">
        <f t="shared" si="23"/>
        <v>0.998181834128161</v>
      </c>
      <c r="AK42">
        <v>2003</v>
      </c>
      <c r="AL42" s="12">
        <v>1.03728433984702</v>
      </c>
      <c r="AM42">
        <f t="shared" si="24"/>
        <v>1.06000289985671</v>
      </c>
      <c r="AO42">
        <v>2003</v>
      </c>
      <c r="AP42" s="12">
        <v>0.994226340706175</v>
      </c>
      <c r="AQ42">
        <f t="shared" si="25"/>
        <v>1.0358426750127</v>
      </c>
      <c r="AS42">
        <v>2003</v>
      </c>
      <c r="AT42" s="12">
        <v>1.00261613972881</v>
      </c>
      <c r="AU42">
        <f t="shared" si="26"/>
        <v>0.980947723721514</v>
      </c>
      <c r="AW42">
        <v>2003</v>
      </c>
      <c r="AX42" s="12">
        <v>1.00353845424379</v>
      </c>
      <c r="AY42">
        <f t="shared" si="27"/>
        <v>0.986874143227509</v>
      </c>
      <c r="BA42">
        <v>2003</v>
      </c>
      <c r="BB42" s="12">
        <v>1.00025284378382</v>
      </c>
      <c r="BC42">
        <f t="shared" si="28"/>
        <v>0.996901212978092</v>
      </c>
      <c r="BE42">
        <v>2003</v>
      </c>
      <c r="BF42" s="12">
        <v>1.01721477198404</v>
      </c>
      <c r="BG42">
        <f t="shared" si="29"/>
        <v>0.905207491404396</v>
      </c>
    </row>
    <row r="43" spans="1:59">
      <c r="A43">
        <v>2004</v>
      </c>
      <c r="B43" s="12">
        <v>0.999683434089378</v>
      </c>
      <c r="C43">
        <f t="shared" si="15"/>
        <v>0.98716898071776</v>
      </c>
      <c r="E43">
        <v>2004</v>
      </c>
      <c r="F43" s="12">
        <v>1.02356871246839</v>
      </c>
      <c r="G43">
        <f t="shared" si="16"/>
        <v>1.02536431697005</v>
      </c>
      <c r="I43">
        <v>2004</v>
      </c>
      <c r="J43" s="12">
        <v>1.02724256655147</v>
      </c>
      <c r="K43">
        <f t="shared" si="17"/>
        <v>0.971500202097476</v>
      </c>
      <c r="M43">
        <v>2004</v>
      </c>
      <c r="N43" s="12">
        <v>1.00311732630627</v>
      </c>
      <c r="O43">
        <f t="shared" si="18"/>
        <v>0.901056878722097</v>
      </c>
      <c r="Q43">
        <v>2004</v>
      </c>
      <c r="R43" s="12">
        <v>0.997499253141825</v>
      </c>
      <c r="S43">
        <f t="shared" si="19"/>
        <v>0.995919892855194</v>
      </c>
      <c r="U43">
        <v>2004</v>
      </c>
      <c r="V43" s="12">
        <v>0.994182792994508</v>
      </c>
      <c r="W43">
        <f t="shared" si="20"/>
        <v>0.987461991116452</v>
      </c>
      <c r="Y43">
        <v>2004</v>
      </c>
      <c r="Z43" s="12">
        <v>0.964769984833657</v>
      </c>
      <c r="AA43">
        <f t="shared" si="21"/>
        <v>0.946758970214462</v>
      </c>
      <c r="AC43">
        <v>2004</v>
      </c>
      <c r="AD43" s="12">
        <v>1.02195745459648</v>
      </c>
      <c r="AE43">
        <f t="shared" si="22"/>
        <v>1.04898367991143</v>
      </c>
      <c r="AG43">
        <v>2004</v>
      </c>
      <c r="AH43" s="12">
        <v>0.997925778905947</v>
      </c>
      <c r="AI43">
        <f t="shared" si="23"/>
        <v>0.996111384312112</v>
      </c>
      <c r="AK43">
        <v>2004</v>
      </c>
      <c r="AL43" s="12">
        <v>0.990789992852075</v>
      </c>
      <c r="AM43">
        <f t="shared" si="24"/>
        <v>1.05024026557221</v>
      </c>
      <c r="AO43">
        <v>2004</v>
      </c>
      <c r="AP43" s="12">
        <v>0.984032036295304</v>
      </c>
      <c r="AQ43">
        <f t="shared" si="25"/>
        <v>1.01930237677432</v>
      </c>
      <c r="AS43">
        <v>2004</v>
      </c>
      <c r="AT43" s="12">
        <v>1.00668967040166</v>
      </c>
      <c r="AU43">
        <f t="shared" si="26"/>
        <v>0.987509940674465</v>
      </c>
      <c r="AW43">
        <v>2004</v>
      </c>
      <c r="AX43" s="12">
        <v>1.00411166322832</v>
      </c>
      <c r="AY43">
        <f t="shared" si="27"/>
        <v>0.990931837353198</v>
      </c>
      <c r="BA43">
        <v>2004</v>
      </c>
      <c r="BB43" s="12">
        <v>0.997377195605734</v>
      </c>
      <c r="BC43">
        <f t="shared" si="28"/>
        <v>0.994286536096043</v>
      </c>
      <c r="BE43">
        <v>2004</v>
      </c>
      <c r="BF43" s="12">
        <v>1.03045528007495</v>
      </c>
      <c r="BG43">
        <f t="shared" si="29"/>
        <v>0.932775839081062</v>
      </c>
    </row>
    <row r="44" spans="1:59">
      <c r="A44">
        <v>2005</v>
      </c>
      <c r="B44" s="12">
        <v>1.00062973097787</v>
      </c>
      <c r="C44">
        <f t="shared" si="15"/>
        <v>0.987790631605313</v>
      </c>
      <c r="E44">
        <v>2005</v>
      </c>
      <c r="F44" s="12">
        <v>1.01425122103451</v>
      </c>
      <c r="G44">
        <f t="shared" si="16"/>
        <v>1.03997701049209</v>
      </c>
      <c r="I44">
        <v>2005</v>
      </c>
      <c r="J44" s="12">
        <v>0.98464899075793</v>
      </c>
      <c r="K44">
        <f t="shared" si="17"/>
        <v>0.956586693516405</v>
      </c>
      <c r="M44">
        <v>2005</v>
      </c>
      <c r="N44" s="12">
        <v>1.01615072292529</v>
      </c>
      <c r="O44">
        <f t="shared" si="18"/>
        <v>0.915609598710262</v>
      </c>
      <c r="Q44">
        <v>2005</v>
      </c>
      <c r="R44" s="12">
        <v>0.999377023896803</v>
      </c>
      <c r="S44">
        <f t="shared" si="19"/>
        <v>0.995299458561247</v>
      </c>
      <c r="U44">
        <v>2005</v>
      </c>
      <c r="V44" s="12">
        <v>0.998521727553242</v>
      </c>
      <c r="W44">
        <f t="shared" si="20"/>
        <v>0.986002253262763</v>
      </c>
      <c r="Y44">
        <v>2005</v>
      </c>
      <c r="Z44" s="12">
        <v>1.00822685747194</v>
      </c>
      <c r="AA44">
        <f t="shared" si="21"/>
        <v>0.954547821322697</v>
      </c>
      <c r="AC44">
        <v>2005</v>
      </c>
      <c r="AD44" s="12">
        <v>1.00049769801991</v>
      </c>
      <c r="AE44">
        <f t="shared" si="22"/>
        <v>1.04950575701184</v>
      </c>
      <c r="AG44">
        <v>2005</v>
      </c>
      <c r="AH44" s="12">
        <v>1.00125021113785</v>
      </c>
      <c r="AI44">
        <f t="shared" si="23"/>
        <v>0.997356733859317</v>
      </c>
      <c r="AK44">
        <v>2005</v>
      </c>
      <c r="AL44" s="12">
        <v>0.990555733409845</v>
      </c>
      <c r="AM44">
        <f t="shared" si="24"/>
        <v>1.04032151652043</v>
      </c>
      <c r="AO44">
        <v>2005</v>
      </c>
      <c r="AP44" s="12">
        <v>1.00889832284885</v>
      </c>
      <c r="AQ44">
        <f t="shared" si="25"/>
        <v>1.02837245840346</v>
      </c>
      <c r="AS44">
        <v>2005</v>
      </c>
      <c r="AT44" s="12">
        <v>1.00158212577499</v>
      </c>
      <c r="AU44">
        <f t="shared" si="26"/>
        <v>0.989072305604668</v>
      </c>
      <c r="AW44">
        <v>2005</v>
      </c>
      <c r="AX44" s="12">
        <v>0.995761409021444</v>
      </c>
      <c r="AY44">
        <f t="shared" si="27"/>
        <v>0.986731682607029</v>
      </c>
      <c r="BA44">
        <v>2005</v>
      </c>
      <c r="BB44" s="12">
        <v>1.00019028192731</v>
      </c>
      <c r="BC44">
        <f t="shared" si="28"/>
        <v>0.994475730854426</v>
      </c>
      <c r="BE44">
        <v>2005</v>
      </c>
      <c r="BF44" s="12">
        <v>1.01556787743198</v>
      </c>
      <c r="BG44">
        <f t="shared" si="29"/>
        <v>0.947297179015393</v>
      </c>
    </row>
    <row r="45" spans="1:59">
      <c r="A45">
        <v>2006</v>
      </c>
      <c r="B45" s="12">
        <v>1.00126322673946</v>
      </c>
      <c r="C45">
        <f t="shared" si="15"/>
        <v>0.989038435144145</v>
      </c>
      <c r="E45">
        <v>2006</v>
      </c>
      <c r="F45" s="12">
        <v>0.996757775888034</v>
      </c>
      <c r="G45">
        <f t="shared" si="16"/>
        <v>1.03660517195278</v>
      </c>
      <c r="I45">
        <v>2006</v>
      </c>
      <c r="J45" s="12">
        <v>0.983429421326299</v>
      </c>
      <c r="K45">
        <f t="shared" si="17"/>
        <v>0.940735498453275</v>
      </c>
      <c r="M45">
        <v>2006</v>
      </c>
      <c r="N45" s="12">
        <v>1.0220491931979</v>
      </c>
      <c r="O45">
        <f t="shared" si="18"/>
        <v>0.935798051646081</v>
      </c>
      <c r="Q45">
        <v>2006</v>
      </c>
      <c r="R45" s="12">
        <v>1.00088330360091</v>
      </c>
      <c r="S45">
        <f t="shared" si="19"/>
        <v>0.996178610156981</v>
      </c>
      <c r="U45">
        <v>2006</v>
      </c>
      <c r="V45" s="12">
        <v>1.00153603875018</v>
      </c>
      <c r="W45">
        <f t="shared" si="20"/>
        <v>0.987516790931536</v>
      </c>
      <c r="Y45">
        <v>2006</v>
      </c>
      <c r="Z45" s="12">
        <v>0.975558739180669</v>
      </c>
      <c r="AA45">
        <f t="shared" si="21"/>
        <v>0.931217469057226</v>
      </c>
      <c r="AC45">
        <v>2006</v>
      </c>
      <c r="AD45" s="12">
        <v>1.01068474859598</v>
      </c>
      <c r="AE45">
        <f t="shared" si="22"/>
        <v>1.06071946217555</v>
      </c>
      <c r="AG45">
        <v>2006</v>
      </c>
      <c r="AH45" s="12">
        <v>1.00072058033752</v>
      </c>
      <c r="AI45">
        <f t="shared" si="23"/>
        <v>0.998075409511225</v>
      </c>
      <c r="AK45">
        <v>2006</v>
      </c>
      <c r="AL45" s="12">
        <v>0.99332263666578</v>
      </c>
      <c r="AM45">
        <f t="shared" si="24"/>
        <v>1.03337491177022</v>
      </c>
      <c r="AO45">
        <v>2006</v>
      </c>
      <c r="AP45" s="12">
        <v>0.965750956602611</v>
      </c>
      <c r="AQ45">
        <f t="shared" si="25"/>
        <v>0.99315168544692</v>
      </c>
      <c r="AS45">
        <v>2006</v>
      </c>
      <c r="AT45" s="12">
        <v>1.00314673476793</v>
      </c>
      <c r="AU45">
        <f t="shared" si="26"/>
        <v>0.992184653816714</v>
      </c>
      <c r="AW45">
        <v>2006</v>
      </c>
      <c r="AX45" s="12">
        <v>1.00467865266061</v>
      </c>
      <c r="AY45">
        <f t="shared" si="27"/>
        <v>0.991348257419162</v>
      </c>
      <c r="BA45">
        <v>2006</v>
      </c>
      <c r="BB45" s="12">
        <v>0.999617064229472</v>
      </c>
      <c r="BC45">
        <f t="shared" si="28"/>
        <v>0.99409491052416</v>
      </c>
      <c r="BE45">
        <v>2006</v>
      </c>
      <c r="BF45" s="12">
        <v>1.01246102132332</v>
      </c>
      <c r="BG45">
        <f t="shared" si="29"/>
        <v>0.959101469362622</v>
      </c>
    </row>
    <row r="46" spans="1:59">
      <c r="A46">
        <v>2007</v>
      </c>
      <c r="B46" s="12">
        <v>0.999780791497299</v>
      </c>
      <c r="C46">
        <f t="shared" si="15"/>
        <v>0.988821629509663</v>
      </c>
      <c r="E46">
        <v>2007</v>
      </c>
      <c r="F46" s="12">
        <v>1.04165594668954</v>
      </c>
      <c r="G46">
        <f t="shared" si="16"/>
        <v>1.07978594173375</v>
      </c>
      <c r="I46">
        <v>2007</v>
      </c>
      <c r="J46" s="12">
        <v>1.00631943896881</v>
      </c>
      <c r="K46">
        <f t="shared" si="17"/>
        <v>0.946680419021541</v>
      </c>
      <c r="M46">
        <v>2007</v>
      </c>
      <c r="N46" s="12">
        <v>1.01376358181309</v>
      </c>
      <c r="O46">
        <f t="shared" si="18"/>
        <v>0.948677984690441</v>
      </c>
      <c r="Q46">
        <v>2007</v>
      </c>
      <c r="R46" s="12">
        <v>0.99857524149457</v>
      </c>
      <c r="S46">
        <f t="shared" si="19"/>
        <v>0.994759296209231</v>
      </c>
      <c r="U46">
        <v>2007</v>
      </c>
      <c r="V46" s="12">
        <v>0.988515520948362</v>
      </c>
      <c r="W46">
        <f t="shared" si="20"/>
        <v>0.976175675032941</v>
      </c>
      <c r="Y46">
        <v>2007</v>
      </c>
      <c r="Z46" s="12">
        <v>0.988393967139352</v>
      </c>
      <c r="AA46">
        <f t="shared" si="21"/>
        <v>0.920409728510938</v>
      </c>
      <c r="AC46">
        <v>2007</v>
      </c>
      <c r="AD46" s="12">
        <v>0.989823825275234</v>
      </c>
      <c r="AE46">
        <f t="shared" si="22"/>
        <v>1.04992539559449</v>
      </c>
      <c r="AG46">
        <v>2007</v>
      </c>
      <c r="AH46" s="12">
        <v>0.999367941451873</v>
      </c>
      <c r="AI46">
        <f t="shared" si="23"/>
        <v>0.997444567416968</v>
      </c>
      <c r="AK46">
        <v>2007</v>
      </c>
      <c r="AL46" s="12">
        <v>0.991517064420097</v>
      </c>
      <c r="AM46">
        <f t="shared" si="24"/>
        <v>1.02460885896378</v>
      </c>
      <c r="AO46">
        <v>2007</v>
      </c>
      <c r="AP46" s="12">
        <v>0.958986955023841</v>
      </c>
      <c r="AQ46">
        <f t="shared" si="25"/>
        <v>0.952419510703537</v>
      </c>
      <c r="AS46">
        <v>2007</v>
      </c>
      <c r="AT46" s="12">
        <v>1.00453365046029</v>
      </c>
      <c r="AU46">
        <f t="shared" si="26"/>
        <v>0.99668287222918</v>
      </c>
      <c r="AW46">
        <v>2007</v>
      </c>
      <c r="AX46" s="12">
        <v>1.00851583745679</v>
      </c>
      <c r="AY46">
        <f t="shared" si="27"/>
        <v>0.999790418042411</v>
      </c>
      <c r="BA46">
        <v>2007</v>
      </c>
      <c r="BB46" s="12">
        <v>0.999764932632164</v>
      </c>
      <c r="BC46">
        <f t="shared" si="28"/>
        <v>0.993861231250164</v>
      </c>
      <c r="BE46">
        <v>2007</v>
      </c>
      <c r="BF46" s="12">
        <v>1.00841741354354</v>
      </c>
      <c r="BG46">
        <f t="shared" si="29"/>
        <v>0.967174623060468</v>
      </c>
    </row>
    <row r="47" spans="1:59">
      <c r="A47">
        <v>2008</v>
      </c>
      <c r="B47" s="12">
        <v>1.00263976873353</v>
      </c>
      <c r="C47">
        <f t="shared" si="15"/>
        <v>0.991431889930283</v>
      </c>
      <c r="E47">
        <v>2008</v>
      </c>
      <c r="F47" s="12">
        <v>1.03959410362238</v>
      </c>
      <c r="G47">
        <f t="shared" si="16"/>
        <v>1.12253909820074</v>
      </c>
      <c r="I47">
        <v>2008</v>
      </c>
      <c r="J47" s="12">
        <v>1.03477738110652</v>
      </c>
      <c r="K47">
        <f t="shared" si="17"/>
        <v>0.979603484739931</v>
      </c>
      <c r="M47">
        <v>2008</v>
      </c>
      <c r="N47" s="12">
        <v>0.962038189932071</v>
      </c>
      <c r="O47">
        <f t="shared" si="18"/>
        <v>0.912664451219997</v>
      </c>
      <c r="Q47">
        <v>2008</v>
      </c>
      <c r="R47" s="12">
        <v>0.999630481256643</v>
      </c>
      <c r="S47">
        <f t="shared" si="19"/>
        <v>0.994391714004153</v>
      </c>
      <c r="U47">
        <v>2008</v>
      </c>
      <c r="V47" s="12">
        <v>0.98666256236882</v>
      </c>
      <c r="W47">
        <f t="shared" si="20"/>
        <v>0.963155992850114</v>
      </c>
      <c r="Y47">
        <v>2008</v>
      </c>
      <c r="Z47" s="12">
        <v>0.96822920103036</v>
      </c>
      <c r="AA47">
        <f t="shared" si="21"/>
        <v>0.891167576056716</v>
      </c>
      <c r="AC47">
        <v>2008</v>
      </c>
      <c r="AD47" s="12">
        <v>1.04846984879347</v>
      </c>
      <c r="AE47">
        <f t="shared" si="22"/>
        <v>1.10081512076338</v>
      </c>
      <c r="AG47">
        <v>2008</v>
      </c>
      <c r="AH47" s="12">
        <v>1.00188515505865</v>
      </c>
      <c r="AI47">
        <f t="shared" si="23"/>
        <v>0.999324905088954</v>
      </c>
      <c r="AK47">
        <v>2008</v>
      </c>
      <c r="AL47" s="12">
        <v>1.04513160917147</v>
      </c>
      <c r="AM47">
        <f t="shared" si="24"/>
        <v>1.07085110554016</v>
      </c>
      <c r="AO47">
        <v>2008</v>
      </c>
      <c r="AP47" s="12">
        <v>1.00345648104965</v>
      </c>
      <c r="AQ47">
        <f t="shared" si="25"/>
        <v>0.955711530693604</v>
      </c>
      <c r="AS47">
        <v>2008</v>
      </c>
      <c r="AT47" s="12">
        <v>1.00822670459125</v>
      </c>
      <c r="AU47">
        <f t="shared" si="26"/>
        <v>1.00488228779017</v>
      </c>
      <c r="AW47">
        <v>2008</v>
      </c>
      <c r="AX47" s="12">
        <v>0.999259546812268</v>
      </c>
      <c r="AY47">
        <f t="shared" si="27"/>
        <v>0.999050120040307</v>
      </c>
      <c r="BA47">
        <v>2008</v>
      </c>
      <c r="BB47" s="12">
        <v>0.995463023919739</v>
      </c>
      <c r="BC47">
        <f t="shared" si="28"/>
        <v>0.989352106616883</v>
      </c>
      <c r="BE47">
        <v>2008</v>
      </c>
      <c r="BF47" s="12">
        <v>1.03219191358075</v>
      </c>
      <c r="BG47">
        <f t="shared" si="29"/>
        <v>0.998309824943521</v>
      </c>
    </row>
    <row r="48" spans="1:59">
      <c r="A48">
        <v>2009</v>
      </c>
      <c r="B48" s="12">
        <v>1.00254660105183</v>
      </c>
      <c r="C48">
        <f t="shared" si="15"/>
        <v>0.993956671423998</v>
      </c>
      <c r="E48">
        <v>2009</v>
      </c>
      <c r="F48" s="12">
        <v>1.02945134470562</v>
      </c>
      <c r="G48">
        <f t="shared" si="16"/>
        <v>1.15559938412739</v>
      </c>
      <c r="I48">
        <v>2009</v>
      </c>
      <c r="J48" s="12">
        <v>1.13934538255228</v>
      </c>
      <c r="K48">
        <f t="shared" si="17"/>
        <v>1.11610670707056</v>
      </c>
      <c r="M48">
        <v>2009</v>
      </c>
      <c r="N48" s="12">
        <v>1.01724651331103</v>
      </c>
      <c r="O48">
        <f t="shared" si="18"/>
        <v>0.92840473082647</v>
      </c>
      <c r="Q48">
        <v>2009</v>
      </c>
      <c r="R48" s="12">
        <v>1.00217696779479</v>
      </c>
      <c r="S48">
        <f t="shared" si="19"/>
        <v>0.996556472740948</v>
      </c>
      <c r="U48">
        <v>2009</v>
      </c>
      <c r="V48" s="12">
        <v>1.0445263446365</v>
      </c>
      <c r="W48">
        <f t="shared" si="20"/>
        <v>1.00604180852647</v>
      </c>
      <c r="Y48">
        <v>2009</v>
      </c>
      <c r="Z48" s="12">
        <v>1.01543829749579</v>
      </c>
      <c r="AA48">
        <f t="shared" si="21"/>
        <v>0.904925686214481</v>
      </c>
      <c r="AC48">
        <v>2009</v>
      </c>
      <c r="AD48" s="12">
        <v>1.01164752104969</v>
      </c>
      <c r="AE48">
        <f t="shared" si="22"/>
        <v>1.11363688805429</v>
      </c>
      <c r="AG48">
        <v>2009</v>
      </c>
      <c r="AH48" s="12">
        <v>1.00350323245313</v>
      </c>
      <c r="AI48">
        <f t="shared" si="23"/>
        <v>1.00282577252768</v>
      </c>
      <c r="AK48">
        <v>2009</v>
      </c>
      <c r="AL48" s="12">
        <v>0.964466900919302</v>
      </c>
      <c r="AM48">
        <f t="shared" si="24"/>
        <v>1.03280044710633</v>
      </c>
      <c r="AO48">
        <v>2009</v>
      </c>
      <c r="AP48" s="12">
        <v>1.07133491806573</v>
      </c>
      <c r="AQ48">
        <f t="shared" si="25"/>
        <v>1.0238871344301</v>
      </c>
      <c r="AS48">
        <v>2009</v>
      </c>
      <c r="AT48" s="12">
        <v>0.996059126810712</v>
      </c>
      <c r="AU48">
        <f t="shared" si="26"/>
        <v>1.00092217412383</v>
      </c>
      <c r="AW48">
        <v>2009</v>
      </c>
      <c r="AX48" s="12">
        <v>1.00784861458846</v>
      </c>
      <c r="AY48">
        <f t="shared" si="27"/>
        <v>1.00689127938705</v>
      </c>
      <c r="BA48">
        <v>2009</v>
      </c>
      <c r="BB48" s="12">
        <v>1.00393917241712</v>
      </c>
      <c r="BC48">
        <f t="shared" si="28"/>
        <v>0.99324933514609</v>
      </c>
      <c r="BE48">
        <v>2009</v>
      </c>
      <c r="BF48" s="12">
        <v>1.0209918214987</v>
      </c>
      <c r="BG48">
        <f t="shared" si="29"/>
        <v>1.01926616658914</v>
      </c>
    </row>
    <row r="49" spans="1:59">
      <c r="A49">
        <v>2010</v>
      </c>
      <c r="B49" s="12">
        <v>0.999879670211009</v>
      </c>
      <c r="C49">
        <f t="shared" si="15"/>
        <v>0.993837068827459</v>
      </c>
      <c r="E49">
        <v>2010</v>
      </c>
      <c r="F49" s="12">
        <v>0.962036571671932</v>
      </c>
      <c r="G49">
        <f t="shared" si="16"/>
        <v>1.11172886973211</v>
      </c>
      <c r="I49">
        <v>2010</v>
      </c>
      <c r="J49" s="12">
        <v>1.01848628068561</v>
      </c>
      <c r="K49">
        <f t="shared" si="17"/>
        <v>1.13673936893256</v>
      </c>
      <c r="M49">
        <v>2010</v>
      </c>
      <c r="N49" s="12">
        <v>0.962740130651246</v>
      </c>
      <c r="O49">
        <f t="shared" si="18"/>
        <v>0.893812491853111</v>
      </c>
      <c r="Q49">
        <v>2010</v>
      </c>
      <c r="R49" s="12">
        <v>0.999911599852005</v>
      </c>
      <c r="S49">
        <f t="shared" si="19"/>
        <v>0.996468377001272</v>
      </c>
      <c r="U49">
        <v>2010</v>
      </c>
      <c r="V49" s="12">
        <v>0.970555302447969</v>
      </c>
      <c r="W49">
        <f t="shared" si="20"/>
        <v>0.976419211749707</v>
      </c>
      <c r="Y49">
        <v>2010</v>
      </c>
      <c r="Z49" s="12">
        <v>1.0062516100693</v>
      </c>
      <c r="AA49">
        <f t="shared" si="21"/>
        <v>0.910582928746389</v>
      </c>
      <c r="AC49">
        <v>2010</v>
      </c>
      <c r="AD49" s="12">
        <v>0.998559575945501</v>
      </c>
      <c r="AE49">
        <f t="shared" si="22"/>
        <v>1.11203277869276</v>
      </c>
      <c r="AG49">
        <v>2010</v>
      </c>
      <c r="AH49" s="12">
        <v>0.999340496776774</v>
      </c>
      <c r="AI49">
        <f t="shared" si="23"/>
        <v>1.00216440569837</v>
      </c>
      <c r="AK49">
        <v>2010</v>
      </c>
      <c r="AL49" s="12">
        <v>1.00808327841934</v>
      </c>
      <c r="AM49">
        <f t="shared" si="24"/>
        <v>1.04114886067191</v>
      </c>
      <c r="AO49">
        <v>2010</v>
      </c>
      <c r="AP49" s="12">
        <v>0.990955433801577</v>
      </c>
      <c r="AQ49">
        <f t="shared" si="25"/>
        <v>1.01462651946304</v>
      </c>
      <c r="AS49">
        <v>2010</v>
      </c>
      <c r="AT49" s="12">
        <v>0.991922707920488</v>
      </c>
      <c r="AU49">
        <f t="shared" si="26"/>
        <v>0.99283743337457</v>
      </c>
      <c r="AW49">
        <v>2010</v>
      </c>
      <c r="AX49" s="12">
        <v>0.994440529938131</v>
      </c>
      <c r="AY49">
        <f t="shared" si="27"/>
        <v>1.00129349746374</v>
      </c>
      <c r="BA49">
        <v>2010</v>
      </c>
      <c r="BB49" s="12">
        <v>1.00070144807747</v>
      </c>
      <c r="BC49">
        <f t="shared" si="28"/>
        <v>0.993946047982681</v>
      </c>
      <c r="BE49">
        <v>2010</v>
      </c>
      <c r="BF49" s="12">
        <v>0.98806180460873</v>
      </c>
      <c r="BG49">
        <f t="shared" si="29"/>
        <v>1.00709796793669</v>
      </c>
    </row>
    <row r="50" spans="1:59">
      <c r="A50">
        <v>2011</v>
      </c>
      <c r="B50" s="12">
        <v>1.00582540763082</v>
      </c>
      <c r="C50">
        <f t="shared" si="15"/>
        <v>0.999626574871994</v>
      </c>
      <c r="E50">
        <v>2011</v>
      </c>
      <c r="F50" s="12">
        <v>1.03022721231404</v>
      </c>
      <c r="G50">
        <f t="shared" si="16"/>
        <v>1.14533333431315</v>
      </c>
      <c r="I50">
        <v>2011</v>
      </c>
      <c r="J50" s="12">
        <v>1.02702294166283</v>
      </c>
      <c r="K50">
        <f t="shared" si="17"/>
        <v>1.16745741058507</v>
      </c>
      <c r="M50">
        <v>2011</v>
      </c>
      <c r="N50" s="12">
        <v>1.00033980874449</v>
      </c>
      <c r="O50">
        <f t="shared" si="18"/>
        <v>0.894116217153775</v>
      </c>
      <c r="Q50">
        <v>2011</v>
      </c>
      <c r="R50" s="12">
        <v>1.0010681495923</v>
      </c>
      <c r="S50">
        <f t="shared" si="19"/>
        <v>0.997532754291908</v>
      </c>
      <c r="U50">
        <v>2011</v>
      </c>
      <c r="V50" s="12">
        <v>0.994134949943466</v>
      </c>
      <c r="W50">
        <f t="shared" si="20"/>
        <v>0.970692464196633</v>
      </c>
      <c r="Y50">
        <v>2011</v>
      </c>
      <c r="Z50" s="12">
        <v>0.973637113696571</v>
      </c>
      <c r="AA50">
        <f t="shared" si="21"/>
        <v>0.886577334526005</v>
      </c>
      <c r="AC50">
        <v>2011</v>
      </c>
      <c r="AD50" s="12">
        <v>1.02368316445259</v>
      </c>
      <c r="AE50">
        <f t="shared" si="22"/>
        <v>1.13836923386721</v>
      </c>
      <c r="AG50">
        <v>2011</v>
      </c>
      <c r="AH50" s="12">
        <v>1.00046184022006</v>
      </c>
      <c r="AI50">
        <f t="shared" si="23"/>
        <v>1.00262724552804</v>
      </c>
      <c r="AK50">
        <v>2011</v>
      </c>
      <c r="AL50" s="12">
        <v>1.04995910454559</v>
      </c>
      <c r="AM50">
        <f t="shared" si="24"/>
        <v>1.09316372544974</v>
      </c>
      <c r="AO50">
        <v>2011</v>
      </c>
      <c r="AP50" s="12">
        <v>0.971693852760636</v>
      </c>
      <c r="AQ50">
        <f t="shared" si="25"/>
        <v>0.985906351810151</v>
      </c>
      <c r="AS50">
        <v>2011</v>
      </c>
      <c r="AT50" s="12">
        <v>1.0102580690448</v>
      </c>
      <c r="AU50">
        <f t="shared" si="26"/>
        <v>1.00302202831639</v>
      </c>
      <c r="AW50">
        <v>2011</v>
      </c>
      <c r="AX50" s="12">
        <v>1.00512749831943</v>
      </c>
      <c r="AY50">
        <f t="shared" si="27"/>
        <v>1.00642762818925</v>
      </c>
      <c r="BA50">
        <v>2011</v>
      </c>
      <c r="BB50" s="12">
        <v>1.0017146134451</v>
      </c>
      <c r="BC50">
        <f t="shared" si="28"/>
        <v>0.995650281240252</v>
      </c>
      <c r="BE50">
        <v>2011</v>
      </c>
      <c r="BF50" s="12">
        <v>1.052090027265</v>
      </c>
      <c r="BG50">
        <f t="shared" si="29"/>
        <v>1.05955772854503</v>
      </c>
    </row>
    <row r="51" spans="1:59">
      <c r="A51">
        <v>2012</v>
      </c>
      <c r="B51" s="12">
        <v>0.991870981823142</v>
      </c>
      <c r="C51">
        <f t="shared" si="15"/>
        <v>0.991500592274789</v>
      </c>
      <c r="E51">
        <v>2012</v>
      </c>
      <c r="F51" s="12">
        <v>1.04305736959842</v>
      </c>
      <c r="G51">
        <f t="shared" si="16"/>
        <v>1.19464837500206</v>
      </c>
      <c r="I51">
        <v>2012</v>
      </c>
      <c r="J51" s="12">
        <v>1.01129246756665</v>
      </c>
      <c r="K51">
        <f t="shared" si="17"/>
        <v>1.18064088552954</v>
      </c>
      <c r="M51">
        <v>2012</v>
      </c>
      <c r="N51" s="12">
        <v>1.01704297833145</v>
      </c>
      <c r="O51">
        <f t="shared" si="18"/>
        <v>0.909354620468525</v>
      </c>
      <c r="Q51">
        <v>2012</v>
      </c>
      <c r="R51" s="12">
        <v>0.99901385553417</v>
      </c>
      <c r="S51">
        <f t="shared" si="19"/>
        <v>0.996549042886779</v>
      </c>
      <c r="U51">
        <v>2012</v>
      </c>
      <c r="V51" s="12">
        <v>1.00656170347734</v>
      </c>
      <c r="W51">
        <f t="shared" si="20"/>
        <v>0.977061860314376</v>
      </c>
      <c r="Y51">
        <v>2012</v>
      </c>
      <c r="Z51" s="12">
        <v>0.996144614541236</v>
      </c>
      <c r="AA51">
        <f t="shared" si="21"/>
        <v>0.883159237162403</v>
      </c>
      <c r="AC51">
        <v>2012</v>
      </c>
      <c r="AD51" s="12">
        <v>1.01361403827082</v>
      </c>
      <c r="AE51">
        <f t="shared" si="22"/>
        <v>1.1538670361834</v>
      </c>
      <c r="AG51">
        <v>2012</v>
      </c>
      <c r="AH51" s="12">
        <v>1.00060703162345</v>
      </c>
      <c r="AI51">
        <f t="shared" si="23"/>
        <v>1.0032358719726</v>
      </c>
      <c r="AK51">
        <v>2012</v>
      </c>
      <c r="AL51" s="12">
        <v>1.00420650167253</v>
      </c>
      <c r="AM51">
        <f t="shared" si="24"/>
        <v>1.0977621204892</v>
      </c>
      <c r="AO51">
        <v>2012</v>
      </c>
      <c r="AP51" s="12">
        <v>1.03499155814467</v>
      </c>
      <c r="AQ51">
        <f t="shared" si="25"/>
        <v>1.02040475124472</v>
      </c>
      <c r="AS51">
        <v>2012</v>
      </c>
      <c r="AT51" s="12">
        <v>1.03731730488067</v>
      </c>
      <c r="AU51">
        <f t="shared" si="26"/>
        <v>1.0404521071491</v>
      </c>
      <c r="AW51">
        <v>2012</v>
      </c>
      <c r="AX51" s="12">
        <v>1.00402901311663</v>
      </c>
      <c r="AY51">
        <f t="shared" si="27"/>
        <v>1.01048253830417</v>
      </c>
      <c r="BA51">
        <v>2012</v>
      </c>
      <c r="BB51" s="12">
        <v>1.00483867809331</v>
      </c>
      <c r="BC51">
        <f t="shared" si="28"/>
        <v>1.00046791244469</v>
      </c>
      <c r="BE51">
        <v>2012</v>
      </c>
      <c r="BF51" s="12">
        <v>1.05603305941928</v>
      </c>
      <c r="BG51">
        <f t="shared" si="29"/>
        <v>1.11892798970676</v>
      </c>
    </row>
    <row r="52" spans="1:59">
      <c r="A52">
        <v>2013</v>
      </c>
      <c r="B52" s="12">
        <v>1.01240750760969</v>
      </c>
      <c r="C52">
        <f t="shared" si="15"/>
        <v>1.00380264341845</v>
      </c>
      <c r="E52">
        <v>2013</v>
      </c>
      <c r="F52" s="12">
        <v>1.04450772126338</v>
      </c>
      <c r="G52">
        <f t="shared" si="16"/>
        <v>1.2478194518844</v>
      </c>
      <c r="I52">
        <v>2013</v>
      </c>
      <c r="J52" s="12">
        <v>0.88496897035587</v>
      </c>
      <c r="K52">
        <f t="shared" si="17"/>
        <v>1.04483054882712</v>
      </c>
      <c r="M52">
        <v>2013</v>
      </c>
      <c r="N52" s="12">
        <v>1.03800740941001</v>
      </c>
      <c r="O52">
        <f t="shared" si="18"/>
        <v>0.943916833827555</v>
      </c>
      <c r="Q52">
        <v>2013</v>
      </c>
      <c r="R52" s="12">
        <v>1.00086245497741</v>
      </c>
      <c r="S52">
        <f t="shared" si="19"/>
        <v>0.997408521569044</v>
      </c>
      <c r="U52">
        <v>2013</v>
      </c>
      <c r="V52" s="12">
        <v>0.999484926289972</v>
      </c>
      <c r="W52">
        <f t="shared" si="20"/>
        <v>0.976558601437057</v>
      </c>
      <c r="Y52">
        <v>2013</v>
      </c>
      <c r="Z52" s="12">
        <v>1.05359569164316</v>
      </c>
      <c r="AA52">
        <f t="shared" si="21"/>
        <v>0.930492767309168</v>
      </c>
      <c r="AC52">
        <v>2013</v>
      </c>
      <c r="AD52" s="12">
        <v>1.01889258006079</v>
      </c>
      <c r="AE52">
        <f t="shared" si="22"/>
        <v>1.175666561544</v>
      </c>
      <c r="AG52">
        <v>2013</v>
      </c>
      <c r="AH52" s="12">
        <v>1.00354518551039</v>
      </c>
      <c r="AI52">
        <f t="shared" si="23"/>
        <v>1.00679252924942</v>
      </c>
      <c r="AK52">
        <v>2013</v>
      </c>
      <c r="AL52" s="12">
        <v>1.00629825442322</v>
      </c>
      <c r="AM52">
        <f t="shared" si="24"/>
        <v>1.10467610562021</v>
      </c>
      <c r="AO52">
        <v>2013</v>
      </c>
      <c r="AP52" s="12">
        <v>1.03764101207342</v>
      </c>
      <c r="AQ52">
        <f t="shared" si="25"/>
        <v>1.0588138188061</v>
      </c>
      <c r="AS52">
        <v>2013</v>
      </c>
      <c r="AT52" s="12">
        <v>1.01382267172925</v>
      </c>
      <c r="AU52">
        <f t="shared" si="26"/>
        <v>1.05483393507623</v>
      </c>
      <c r="AW52">
        <v>2013</v>
      </c>
      <c r="AX52" s="12">
        <v>0.998594680755081</v>
      </c>
      <c r="AY52">
        <f t="shared" si="27"/>
        <v>1.00906248774643</v>
      </c>
      <c r="BA52">
        <v>2013</v>
      </c>
      <c r="BB52" s="12">
        <v>0.998537445813008</v>
      </c>
      <c r="BC52">
        <f t="shared" si="28"/>
        <v>0.999004673910394</v>
      </c>
      <c r="BE52">
        <v>2013</v>
      </c>
      <c r="BF52" s="12">
        <v>1.05421576960061</v>
      </c>
      <c r="BG52">
        <f t="shared" si="29"/>
        <v>1.17959153179637</v>
      </c>
    </row>
    <row r="53" spans="1:59">
      <c r="A53">
        <v>2014</v>
      </c>
      <c r="B53" s="12">
        <v>1.00566204487218</v>
      </c>
      <c r="C53">
        <f t="shared" si="15"/>
        <v>1.00948621902829</v>
      </c>
      <c r="E53">
        <v>2014</v>
      </c>
      <c r="F53" s="12">
        <v>0.998649211808635</v>
      </c>
      <c r="G53">
        <f t="shared" si="16"/>
        <v>1.24613391210384</v>
      </c>
      <c r="I53">
        <v>2014</v>
      </c>
      <c r="J53" s="12">
        <v>0.963904442148716</v>
      </c>
      <c r="K53">
        <f t="shared" si="17"/>
        <v>1.00711680730715</v>
      </c>
      <c r="M53">
        <v>2014</v>
      </c>
      <c r="N53" s="12">
        <v>1.01866214550481</v>
      </c>
      <c r="O53">
        <f t="shared" si="18"/>
        <v>0.961532347124884</v>
      </c>
      <c r="Q53">
        <v>2014</v>
      </c>
      <c r="R53" s="12">
        <v>1.00173383576421</v>
      </c>
      <c r="S53">
        <f t="shared" si="19"/>
        <v>0.999137864135271</v>
      </c>
      <c r="U53">
        <v>2014</v>
      </c>
      <c r="V53" s="12">
        <v>0.997297170388483</v>
      </c>
      <c r="W53">
        <f t="shared" si="20"/>
        <v>0.973919129931711</v>
      </c>
      <c r="Y53">
        <v>2014</v>
      </c>
      <c r="Z53" s="12">
        <v>1.01406693128089</v>
      </c>
      <c r="AA53">
        <f t="shared" si="21"/>
        <v>0.943581945124272</v>
      </c>
      <c r="AC53">
        <v>2014</v>
      </c>
      <c r="AD53" s="12">
        <v>1.02747605701119</v>
      </c>
      <c r="AE53">
        <f t="shared" si="22"/>
        <v>1.20796924301513</v>
      </c>
      <c r="AG53">
        <v>2014</v>
      </c>
      <c r="AH53" s="12">
        <v>0.998617415024687</v>
      </c>
      <c r="AI53">
        <f t="shared" si="23"/>
        <v>1.00540055302523</v>
      </c>
      <c r="AK53">
        <v>2014</v>
      </c>
      <c r="AL53" s="12">
        <v>0.982870801465125</v>
      </c>
      <c r="AM53">
        <f t="shared" si="24"/>
        <v>1.08575388929031</v>
      </c>
      <c r="AO53">
        <v>2014</v>
      </c>
      <c r="AP53" s="12">
        <v>0.969423644996641</v>
      </c>
      <c r="AQ53">
        <f t="shared" si="25"/>
        <v>1.02643915159982</v>
      </c>
      <c r="AS53">
        <v>2014</v>
      </c>
      <c r="AT53" s="12">
        <v>0.988478466600877</v>
      </c>
      <c r="AU53">
        <f t="shared" si="26"/>
        <v>1.04268063066272</v>
      </c>
      <c r="AW53">
        <v>2014</v>
      </c>
      <c r="AX53" s="12">
        <v>1.00637485014605</v>
      </c>
      <c r="AY53">
        <f t="shared" si="27"/>
        <v>1.01549510989382</v>
      </c>
      <c r="BA53">
        <v>2014</v>
      </c>
      <c r="BB53" s="12">
        <v>0.999027441716897</v>
      </c>
      <c r="BC53">
        <f t="shared" si="28"/>
        <v>0.998033083639924</v>
      </c>
      <c r="BE53">
        <v>2014</v>
      </c>
      <c r="BF53" s="12">
        <v>0.978084253164353</v>
      </c>
      <c r="BG53">
        <f t="shared" si="29"/>
        <v>1.15373990241605</v>
      </c>
    </row>
    <row r="54" spans="1:59">
      <c r="A54">
        <v>2015</v>
      </c>
      <c r="B54" s="12">
        <v>0.990700476897468</v>
      </c>
      <c r="C54">
        <f t="shared" si="15"/>
        <v>1.00009847861275</v>
      </c>
      <c r="E54">
        <v>2015</v>
      </c>
      <c r="F54" s="12">
        <v>0.950349906477878</v>
      </c>
      <c r="G54">
        <f t="shared" si="16"/>
        <v>1.18426324682679</v>
      </c>
      <c r="I54">
        <v>2015</v>
      </c>
      <c r="J54" s="12">
        <v>0.965643926018697</v>
      </c>
      <c r="K54">
        <f t="shared" si="17"/>
        <v>0.972516227767488</v>
      </c>
      <c r="M54">
        <v>2015</v>
      </c>
      <c r="N54" s="12">
        <v>0.994188085415287</v>
      </c>
      <c r="O54">
        <f t="shared" si="18"/>
        <v>0.955944003252955</v>
      </c>
      <c r="Q54">
        <v>2015</v>
      </c>
      <c r="R54" s="12">
        <v>0.999515283758638</v>
      </c>
      <c r="S54">
        <f t="shared" si="19"/>
        <v>0.998653565785164</v>
      </c>
      <c r="U54">
        <v>2015</v>
      </c>
      <c r="V54" s="12">
        <v>1.01451578314249</v>
      </c>
      <c r="W54">
        <f t="shared" si="20"/>
        <v>0.988056328820128</v>
      </c>
      <c r="Y54">
        <v>2015</v>
      </c>
      <c r="Z54" s="12">
        <v>0.953537472586997</v>
      </c>
      <c r="AA54">
        <f t="shared" si="21"/>
        <v>0.899740743132521</v>
      </c>
      <c r="AC54">
        <v>2015</v>
      </c>
      <c r="AD54" s="12">
        <v>0.867582762876763</v>
      </c>
      <c r="AE54">
        <f t="shared" si="22"/>
        <v>1.04801329332521</v>
      </c>
      <c r="AG54">
        <v>2015</v>
      </c>
      <c r="AH54" s="12">
        <v>0.991714651597891</v>
      </c>
      <c r="AI54">
        <f t="shared" si="23"/>
        <v>0.99707045915974</v>
      </c>
      <c r="AK54">
        <v>2015</v>
      </c>
      <c r="AL54" s="12">
        <v>0.91467877330626</v>
      </c>
      <c r="AM54">
        <f t="shared" si="24"/>
        <v>0.993116035568562</v>
      </c>
      <c r="AO54">
        <v>2015</v>
      </c>
      <c r="AP54" s="12">
        <v>0.996626124921057</v>
      </c>
      <c r="AQ54">
        <f t="shared" si="25"/>
        <v>1.02297607412618</v>
      </c>
      <c r="AS54">
        <v>2015</v>
      </c>
      <c r="AT54" s="12">
        <v>0.982858260327756</v>
      </c>
      <c r="AU54">
        <f t="shared" si="26"/>
        <v>1.02480727073061</v>
      </c>
      <c r="AW54">
        <v>2015</v>
      </c>
      <c r="AX54" s="12">
        <v>0.99702267148124</v>
      </c>
      <c r="AY54">
        <f t="shared" si="27"/>
        <v>1.01247164734247</v>
      </c>
      <c r="BA54">
        <v>2015</v>
      </c>
      <c r="BB54" s="12">
        <v>1.00455344695772</v>
      </c>
      <c r="BC54">
        <f t="shared" si="28"/>
        <v>1.00257757434833</v>
      </c>
      <c r="BE54">
        <v>2015</v>
      </c>
      <c r="BF54" s="12">
        <v>0.943630360423236</v>
      </c>
      <c r="BG54">
        <f t="shared" si="29"/>
        <v>1.08870399995153</v>
      </c>
    </row>
    <row r="55" spans="1:59">
      <c r="A55">
        <v>2016</v>
      </c>
      <c r="B55" s="12">
        <v>1.00420051817815</v>
      </c>
      <c r="C55">
        <f t="shared" si="15"/>
        <v>1.0042994104521</v>
      </c>
      <c r="E55">
        <v>2016</v>
      </c>
      <c r="F55" s="12">
        <v>0.987587153946606</v>
      </c>
      <c r="G55">
        <f t="shared" si="16"/>
        <v>1.16956316945724</v>
      </c>
      <c r="I55">
        <v>2016</v>
      </c>
      <c r="J55" s="12">
        <v>1.05312026989014</v>
      </c>
      <c r="K55">
        <f t="shared" si="17"/>
        <v>1.02417655225904</v>
      </c>
      <c r="M55">
        <v>2016</v>
      </c>
      <c r="N55" s="12">
        <v>0.991400225353317</v>
      </c>
      <c r="O55">
        <f t="shared" si="18"/>
        <v>0.947723100250131</v>
      </c>
      <c r="Q55">
        <v>2016</v>
      </c>
      <c r="R55" s="12">
        <v>1.00039192309859</v>
      </c>
      <c r="S55">
        <f t="shared" si="19"/>
        <v>0.99904496118509</v>
      </c>
      <c r="U55">
        <v>2016</v>
      </c>
      <c r="V55" s="12">
        <v>1.0026529318788</v>
      </c>
      <c r="W55">
        <f t="shared" si="20"/>
        <v>0.990677574952901</v>
      </c>
      <c r="Y55">
        <v>2016</v>
      </c>
      <c r="Z55" s="12">
        <v>0.976425319652142</v>
      </c>
      <c r="AA55">
        <f t="shared" si="21"/>
        <v>0.878529642717227</v>
      </c>
      <c r="AC55">
        <v>2016</v>
      </c>
      <c r="AD55" s="12">
        <v>1.04473110785249</v>
      </c>
      <c r="AE55">
        <f t="shared" si="22"/>
        <v>1.09489208897978</v>
      </c>
      <c r="AG55">
        <v>2016</v>
      </c>
      <c r="AH55" s="12">
        <v>1.00017516812855</v>
      </c>
      <c r="AI55">
        <f t="shared" si="23"/>
        <v>0.997245114126106</v>
      </c>
      <c r="AK55">
        <v>2016</v>
      </c>
      <c r="AL55" s="12">
        <v>0.993549022101011</v>
      </c>
      <c r="AM55">
        <f t="shared" si="24"/>
        <v>0.986709465971978</v>
      </c>
      <c r="AO55">
        <v>2016</v>
      </c>
      <c r="AP55" s="12">
        <v>1.00823330983793</v>
      </c>
      <c r="AQ55">
        <f t="shared" si="25"/>
        <v>1.03139855310125</v>
      </c>
      <c r="AS55">
        <v>2016</v>
      </c>
      <c r="AT55" s="12">
        <v>0.993869470589252</v>
      </c>
      <c r="AU55">
        <f t="shared" si="26"/>
        <v>1.01852465961705</v>
      </c>
      <c r="AW55">
        <v>2016</v>
      </c>
      <c r="AX55" s="12">
        <v>0.999683900550315</v>
      </c>
      <c r="AY55">
        <f t="shared" si="27"/>
        <v>1.01215160561192</v>
      </c>
      <c r="BA55">
        <v>2016</v>
      </c>
      <c r="BB55" s="12">
        <v>0.998842482730022</v>
      </c>
      <c r="BC55">
        <f t="shared" si="28"/>
        <v>1.00141707349152</v>
      </c>
      <c r="BE55">
        <v>2016</v>
      </c>
      <c r="BF55" s="12">
        <v>1.01178976784072</v>
      </c>
      <c r="BG55">
        <f t="shared" si="29"/>
        <v>1.10153956735822</v>
      </c>
    </row>
    <row r="56" spans="1:59">
      <c r="A56">
        <v>2017</v>
      </c>
      <c r="B56" s="12">
        <v>1.00130766572295</v>
      </c>
      <c r="C56">
        <f t="shared" si="15"/>
        <v>1.00561269836674</v>
      </c>
      <c r="E56">
        <v>2017</v>
      </c>
      <c r="F56" s="12">
        <v>0.993514059936895</v>
      </c>
      <c r="G56">
        <f t="shared" si="16"/>
        <v>1.16197745284012</v>
      </c>
      <c r="I56">
        <v>2017</v>
      </c>
      <c r="J56" s="12">
        <v>0.981663766384819</v>
      </c>
      <c r="K56">
        <f t="shared" si="17"/>
        <v>1.00539701173363</v>
      </c>
      <c r="M56">
        <v>2017</v>
      </c>
      <c r="N56" s="12">
        <v>0.991172706119378</v>
      </c>
      <c r="O56">
        <f t="shared" si="18"/>
        <v>0.939357269926769</v>
      </c>
      <c r="Q56">
        <v>2017</v>
      </c>
      <c r="R56" s="12">
        <v>0.996424895448717</v>
      </c>
      <c r="S56">
        <f t="shared" si="19"/>
        <v>0.99547327099742</v>
      </c>
      <c r="U56">
        <v>2017</v>
      </c>
      <c r="V56" s="12">
        <v>0.997425199464693</v>
      </c>
      <c r="W56">
        <f t="shared" si="20"/>
        <v>0.988126777802595</v>
      </c>
      <c r="Y56">
        <v>2017</v>
      </c>
      <c r="Z56" s="12">
        <v>1.0134509405769</v>
      </c>
      <c r="AA56">
        <f t="shared" si="21"/>
        <v>0.890346692736464</v>
      </c>
      <c r="AC56">
        <v>2017</v>
      </c>
      <c r="AD56" s="12">
        <v>1.00837582909856</v>
      </c>
      <c r="AE56">
        <f t="shared" si="22"/>
        <v>1.10406271799844</v>
      </c>
      <c r="AG56">
        <v>2017</v>
      </c>
      <c r="AH56" s="12">
        <v>1.00238907700156</v>
      </c>
      <c r="AI56">
        <f t="shared" si="23"/>
        <v>0.999627609493181</v>
      </c>
      <c r="AK56">
        <v>2017</v>
      </c>
      <c r="AL56" s="12">
        <v>1.01450366236342</v>
      </c>
      <c r="AM56">
        <f t="shared" si="24"/>
        <v>1.00102036691723</v>
      </c>
      <c r="AO56">
        <v>2017</v>
      </c>
      <c r="AP56" s="12">
        <v>1.00226904840036</v>
      </c>
      <c r="AQ56">
        <f t="shared" si="25"/>
        <v>1.0337388463383</v>
      </c>
      <c r="AS56">
        <v>2017</v>
      </c>
      <c r="AT56" s="12">
        <v>0.990441528395151</v>
      </c>
      <c r="AU56">
        <f t="shared" si="26"/>
        <v>1.00878912057926</v>
      </c>
      <c r="AW56">
        <v>2017</v>
      </c>
      <c r="AX56" s="12">
        <v>0.996617478034131</v>
      </c>
      <c r="AY56">
        <f t="shared" si="27"/>
        <v>1.00872798057315</v>
      </c>
      <c r="BA56">
        <v>2017</v>
      </c>
      <c r="BB56" s="12">
        <v>0.997096069995721</v>
      </c>
      <c r="BC56">
        <f t="shared" si="28"/>
        <v>0.998509028405015</v>
      </c>
      <c r="BE56">
        <v>2017</v>
      </c>
      <c r="BF56" s="12">
        <v>0.990046252295554</v>
      </c>
      <c r="BG56">
        <f t="shared" si="29"/>
        <v>1.09057512041827</v>
      </c>
    </row>
    <row r="57" spans="1:59">
      <c r="A57">
        <v>2018</v>
      </c>
      <c r="B57" s="12">
        <v>0.998742798001482</v>
      </c>
      <c r="C57">
        <f t="shared" si="15"/>
        <v>1.00434844007261</v>
      </c>
      <c r="E57">
        <v>2018</v>
      </c>
      <c r="F57" s="12">
        <v>0.997314250134982</v>
      </c>
      <c r="G57">
        <f t="shared" si="16"/>
        <v>1.158856672053</v>
      </c>
      <c r="I57">
        <v>2018</v>
      </c>
      <c r="J57" s="12">
        <v>0.997292717460697</v>
      </c>
      <c r="K57">
        <f t="shared" si="17"/>
        <v>1.0026751179587</v>
      </c>
      <c r="M57">
        <v>2018</v>
      </c>
      <c r="N57" s="12">
        <v>1.03034081437554</v>
      </c>
      <c r="O57">
        <f t="shared" si="18"/>
        <v>0.967858134485929</v>
      </c>
      <c r="Q57">
        <v>2018</v>
      </c>
      <c r="R57" s="12">
        <v>1.00166436490132</v>
      </c>
      <c r="S57">
        <f t="shared" si="19"/>
        <v>0.997130101769871</v>
      </c>
      <c r="U57">
        <v>2018</v>
      </c>
      <c r="V57" s="12">
        <v>1.00234303333842</v>
      </c>
      <c r="W57">
        <f t="shared" si="20"/>
        <v>0.990441991785573</v>
      </c>
      <c r="Y57">
        <v>2018</v>
      </c>
      <c r="Z57" s="12">
        <v>1.01622586630978</v>
      </c>
      <c r="AA57">
        <f t="shared" si="21"/>
        <v>0.904793339142158</v>
      </c>
      <c r="AC57">
        <v>2018</v>
      </c>
      <c r="AD57" s="12">
        <v>1.01775849032216</v>
      </c>
      <c r="AE57">
        <f t="shared" si="22"/>
        <v>1.12366920509108</v>
      </c>
      <c r="AG57">
        <v>2018</v>
      </c>
      <c r="AH57" s="12">
        <v>1.00126938813606</v>
      </c>
      <c r="AI57">
        <f t="shared" si="23"/>
        <v>1.00089652492115</v>
      </c>
      <c r="AK57">
        <v>2018</v>
      </c>
      <c r="AL57" s="12">
        <v>1.02865742534439</v>
      </c>
      <c r="AM57">
        <f t="shared" si="24"/>
        <v>1.02970703335038</v>
      </c>
      <c r="AO57">
        <v>2018</v>
      </c>
      <c r="AP57" s="12">
        <v>0.968817352544024</v>
      </c>
      <c r="AQ57">
        <f t="shared" si="25"/>
        <v>1.00150413233139</v>
      </c>
      <c r="AS57">
        <v>2018</v>
      </c>
      <c r="AT57" s="12">
        <v>0.988780153764013</v>
      </c>
      <c r="AU57">
        <f t="shared" si="26"/>
        <v>0.997470661761827</v>
      </c>
      <c r="AW57">
        <v>2018</v>
      </c>
      <c r="AX57" s="12">
        <v>1.00302085218845</v>
      </c>
      <c r="AY57">
        <f t="shared" si="27"/>
        <v>1.01177519870081</v>
      </c>
      <c r="BA57">
        <v>2018</v>
      </c>
      <c r="BB57" s="12">
        <v>0.998325959511202</v>
      </c>
      <c r="BC57">
        <f t="shared" si="28"/>
        <v>0.996837483863034</v>
      </c>
      <c r="BE57">
        <v>2018</v>
      </c>
      <c r="BF57" s="12">
        <v>0.971268068997696</v>
      </c>
      <c r="BG57">
        <f t="shared" si="29"/>
        <v>1.05924079130559</v>
      </c>
    </row>
    <row r="58" spans="1:59">
      <c r="A58">
        <v>2019</v>
      </c>
      <c r="B58" s="12">
        <v>0.999819919041953</v>
      </c>
      <c r="C58">
        <f t="shared" si="15"/>
        <v>1.00416757604331</v>
      </c>
      <c r="E58">
        <v>2019</v>
      </c>
      <c r="F58" s="12">
        <v>1.00229366142132</v>
      </c>
      <c r="G58">
        <f t="shared" si="16"/>
        <v>1.16151469689454</v>
      </c>
      <c r="I58">
        <v>2019</v>
      </c>
      <c r="J58" s="12">
        <v>1.03093486730945</v>
      </c>
      <c r="K58">
        <f t="shared" si="17"/>
        <v>1.03369273968723</v>
      </c>
      <c r="M58">
        <v>2019</v>
      </c>
      <c r="N58" s="12">
        <v>0.981850395210232</v>
      </c>
      <c r="O58">
        <f t="shared" si="18"/>
        <v>0.950291891852447</v>
      </c>
      <c r="Q58">
        <v>2019</v>
      </c>
      <c r="R58" s="12">
        <v>0.999235061813772</v>
      </c>
      <c r="S58">
        <f t="shared" si="19"/>
        <v>0.99636735887839</v>
      </c>
      <c r="U58">
        <v>2019</v>
      </c>
      <c r="V58" s="12">
        <v>1.00553320162248</v>
      </c>
      <c r="W58">
        <f t="shared" si="20"/>
        <v>0.995922307021495</v>
      </c>
      <c r="Y58">
        <v>2019</v>
      </c>
      <c r="Z58" s="12">
        <v>1.04403124323952</v>
      </c>
      <c r="AA58">
        <f t="shared" si="21"/>
        <v>0.944632514739425</v>
      </c>
      <c r="AC58">
        <v>2019</v>
      </c>
      <c r="AD58" s="12">
        <v>0.970387642188824</v>
      </c>
      <c r="AE58">
        <f t="shared" si="22"/>
        <v>1.09039471052852</v>
      </c>
      <c r="AG58">
        <v>2019</v>
      </c>
      <c r="AH58" s="12">
        <v>0.998278825551491</v>
      </c>
      <c r="AI58">
        <f t="shared" si="23"/>
        <v>0.999173807396851</v>
      </c>
      <c r="AK58">
        <v>2019</v>
      </c>
      <c r="AL58" s="12">
        <v>0.970528575316595</v>
      </c>
      <c r="AM58">
        <f t="shared" si="24"/>
        <v>0.999360100071019</v>
      </c>
      <c r="AO58">
        <v>2019</v>
      </c>
      <c r="AP58" s="12">
        <v>1.02062612207879</v>
      </c>
      <c r="AQ58">
        <f t="shared" si="25"/>
        <v>1.02216127882727</v>
      </c>
      <c r="AS58">
        <v>2019</v>
      </c>
      <c r="AT58" s="12">
        <v>1.00169444011688</v>
      </c>
      <c r="AU58">
        <f t="shared" si="26"/>
        <v>0.999160816066522</v>
      </c>
      <c r="AW58">
        <v>2019</v>
      </c>
      <c r="AX58" s="12">
        <v>1.0027261344197</v>
      </c>
      <c r="AY58">
        <f t="shared" si="27"/>
        <v>1.014533433895</v>
      </c>
      <c r="BA58">
        <v>2019</v>
      </c>
      <c r="BB58" s="12">
        <v>1.00120102665624</v>
      </c>
      <c r="BC58">
        <f t="shared" si="28"/>
        <v>0.998034712253089</v>
      </c>
      <c r="BE58">
        <v>2019</v>
      </c>
      <c r="BF58" s="12">
        <v>0.995771383369038</v>
      </c>
      <c r="BG58">
        <f t="shared" si="29"/>
        <v>1.05476166807928</v>
      </c>
    </row>
    <row r="59" spans="1:59">
      <c r="A59">
        <v>2020</v>
      </c>
      <c r="B59" s="12">
        <v>1.00811879084455</v>
      </c>
      <c r="C59">
        <f t="shared" si="15"/>
        <v>1.01232020256609</v>
      </c>
      <c r="E59">
        <v>2020</v>
      </c>
      <c r="F59" s="12">
        <v>1.0140535179591</v>
      </c>
      <c r="G59">
        <f t="shared" si="16"/>
        <v>1.1778380645471</v>
      </c>
      <c r="I59">
        <v>2020</v>
      </c>
      <c r="J59" s="12">
        <v>1.0427286637132</v>
      </c>
      <c r="K59">
        <f t="shared" si="17"/>
        <v>1.07786104914411</v>
      </c>
      <c r="M59">
        <v>2020</v>
      </c>
      <c r="N59" s="12">
        <v>0.998529952803957</v>
      </c>
      <c r="O59">
        <f t="shared" si="18"/>
        <v>0.948894917921407</v>
      </c>
      <c r="Q59">
        <v>2020</v>
      </c>
      <c r="R59" s="12">
        <v>1.00346537975778</v>
      </c>
      <c r="S59">
        <f t="shared" si="19"/>
        <v>0.999820150155157</v>
      </c>
      <c r="U59">
        <v>2020</v>
      </c>
      <c r="V59" s="12">
        <v>0.997323950456967</v>
      </c>
      <c r="W59">
        <f t="shared" si="20"/>
        <v>0.993257169586894</v>
      </c>
      <c r="Y59">
        <v>2020</v>
      </c>
      <c r="Z59" s="12">
        <v>1.06184660225522</v>
      </c>
      <c r="AA59">
        <f t="shared" si="21"/>
        <v>1.00305482615586</v>
      </c>
      <c r="AC59">
        <v>2020</v>
      </c>
      <c r="AD59" s="12">
        <v>1.00946390223318</v>
      </c>
      <c r="AE59">
        <f t="shared" si="22"/>
        <v>1.10071409946454</v>
      </c>
      <c r="AG59">
        <v>2020</v>
      </c>
      <c r="AH59" s="12">
        <v>1.00463490495975</v>
      </c>
      <c r="AI59">
        <f t="shared" si="23"/>
        <v>1.00380488303241</v>
      </c>
      <c r="AK59">
        <v>2020</v>
      </c>
      <c r="AL59" s="12">
        <v>0.976981348450928</v>
      </c>
      <c r="AM59">
        <f t="shared" si="24"/>
        <v>0.976356178155439</v>
      </c>
      <c r="AO59">
        <v>2020</v>
      </c>
      <c r="AP59" s="12">
        <v>1.0509005979594</v>
      </c>
      <c r="AQ59">
        <f t="shared" si="25"/>
        <v>1.07418989913052</v>
      </c>
      <c r="AS59">
        <v>2020</v>
      </c>
      <c r="AT59" s="12">
        <v>1.00770868546242</v>
      </c>
      <c r="AU59">
        <f t="shared" si="26"/>
        <v>1.00686303252395</v>
      </c>
      <c r="AW59">
        <v>2020</v>
      </c>
      <c r="AX59" s="12">
        <v>1.00214445705925</v>
      </c>
      <c r="AY59">
        <f t="shared" si="27"/>
        <v>1.01670905727916</v>
      </c>
      <c r="BA59">
        <v>2020</v>
      </c>
      <c r="BB59" s="12">
        <v>1.00188317255337</v>
      </c>
      <c r="BC59">
        <f t="shared" si="28"/>
        <v>0.999914183830515</v>
      </c>
      <c r="BE59">
        <v>2020</v>
      </c>
      <c r="BF59" s="12">
        <v>1.01535293164066</v>
      </c>
      <c r="BG59">
        <f t="shared" si="29"/>
        <v>1.07095535186649</v>
      </c>
    </row>
    <row r="60" spans="1:59">
      <c r="A60">
        <v>2021</v>
      </c>
      <c r="B60" s="12">
        <v>1.00911612691308</v>
      </c>
      <c r="C60">
        <f t="shared" si="15"/>
        <v>1.02154864200936</v>
      </c>
      <c r="E60">
        <v>2021</v>
      </c>
      <c r="F60" s="12">
        <v>0.932398002215506</v>
      </c>
      <c r="G60">
        <f t="shared" si="16"/>
        <v>1.0982138583171</v>
      </c>
      <c r="I60">
        <v>2021</v>
      </c>
      <c r="J60" s="12">
        <v>0.966265152828263</v>
      </c>
      <c r="K60">
        <f t="shared" si="17"/>
        <v>1.04149957137886</v>
      </c>
      <c r="M60">
        <v>2021</v>
      </c>
      <c r="N60" s="12">
        <v>1.02310721200394</v>
      </c>
      <c r="O60">
        <f t="shared" si="18"/>
        <v>0.970821233959274</v>
      </c>
      <c r="Q60">
        <v>2021</v>
      </c>
      <c r="R60" s="12">
        <v>0.997504463659096</v>
      </c>
      <c r="S60">
        <f t="shared" si="19"/>
        <v>0.997325062636077</v>
      </c>
      <c r="U60">
        <v>2021</v>
      </c>
      <c r="V60" s="12">
        <v>0.994912046046724</v>
      </c>
      <c r="W60">
        <f t="shared" si="20"/>
        <v>0.988203522844274</v>
      </c>
      <c r="Y60">
        <v>2021</v>
      </c>
      <c r="Z60" s="12">
        <v>0.956275421408514</v>
      </c>
      <c r="AA60">
        <f t="shared" si="21"/>
        <v>0.959196676578043</v>
      </c>
      <c r="AC60">
        <v>2021</v>
      </c>
      <c r="AD60" s="12">
        <v>1.01147052355194</v>
      </c>
      <c r="AE60">
        <f t="shared" si="22"/>
        <v>1.11333986646639</v>
      </c>
      <c r="AG60">
        <v>2021</v>
      </c>
      <c r="AH60" s="12">
        <v>1.00724219776054</v>
      </c>
      <c r="AI60">
        <f t="shared" si="23"/>
        <v>1.01107463650832</v>
      </c>
      <c r="AK60">
        <v>2021</v>
      </c>
      <c r="AL60" s="12">
        <v>1.09452882500999</v>
      </c>
      <c r="AM60">
        <f t="shared" si="24"/>
        <v>1.06864998046772</v>
      </c>
      <c r="AO60">
        <v>2021</v>
      </c>
      <c r="AP60" s="12">
        <v>0.926250689218938</v>
      </c>
      <c r="AQ60">
        <f t="shared" si="25"/>
        <v>0.994969134421661</v>
      </c>
      <c r="AS60">
        <v>2021</v>
      </c>
      <c r="AT60" s="12">
        <v>1.00401739600703</v>
      </c>
      <c r="AU60">
        <f t="shared" si="26"/>
        <v>1.01090800005045</v>
      </c>
      <c r="AW60">
        <v>2021</v>
      </c>
      <c r="AX60" s="12">
        <v>0.99529996032992</v>
      </c>
      <c r="AY60">
        <f t="shared" si="27"/>
        <v>1.01193048437701</v>
      </c>
      <c r="BA60">
        <v>2021</v>
      </c>
      <c r="BB60" s="12">
        <v>0.999371374224633</v>
      </c>
      <c r="BC60">
        <f t="shared" si="28"/>
        <v>0.999285612001404</v>
      </c>
      <c r="BE60">
        <v>2021</v>
      </c>
      <c r="BF60" s="12">
        <v>0.969063351571821</v>
      </c>
      <c r="BG60">
        <f t="shared" si="29"/>
        <v>1.03782358266352</v>
      </c>
    </row>
    <row r="61" spans="1:59">
      <c r="A61">
        <v>2022</v>
      </c>
      <c r="B61" s="12">
        <v>0.999625952951836</v>
      </c>
      <c r="C61">
        <f t="shared" si="15"/>
        <v>1.02116653475526</v>
      </c>
      <c r="E61">
        <v>2022</v>
      </c>
      <c r="F61" s="12">
        <v>0.976719189503755</v>
      </c>
      <c r="G61">
        <f t="shared" si="16"/>
        <v>1.07264654959727</v>
      </c>
      <c r="I61">
        <v>2022</v>
      </c>
      <c r="J61" s="12">
        <v>0.883214645138822</v>
      </c>
      <c r="K61">
        <f t="shared" si="17"/>
        <v>0.919867674347619</v>
      </c>
      <c r="M61">
        <v>2022</v>
      </c>
      <c r="N61" s="12">
        <v>0.951481319154189</v>
      </c>
      <c r="O61">
        <f t="shared" si="18"/>
        <v>0.923718268350467</v>
      </c>
      <c r="Q61">
        <v>2022</v>
      </c>
      <c r="R61" s="12">
        <v>1.0025311803571</v>
      </c>
      <c r="S61">
        <f t="shared" si="19"/>
        <v>0.999849472244262</v>
      </c>
      <c r="U61">
        <v>2022</v>
      </c>
      <c r="V61" s="12">
        <v>1.01897213675084</v>
      </c>
      <c r="W61">
        <f t="shared" si="20"/>
        <v>1.00695185521734</v>
      </c>
      <c r="Y61">
        <v>2022</v>
      </c>
      <c r="Z61" s="12">
        <v>0.96322722523356</v>
      </c>
      <c r="AA61">
        <f t="shared" si="21"/>
        <v>0.923924353233521</v>
      </c>
      <c r="AC61">
        <v>2022</v>
      </c>
      <c r="AD61" s="12">
        <v>0.981087065922371</v>
      </c>
      <c r="AE61">
        <f t="shared" si="22"/>
        <v>1.09228334296592</v>
      </c>
      <c r="AG61">
        <v>2022</v>
      </c>
      <c r="AH61" s="12">
        <v>0.998728710167011</v>
      </c>
      <c r="AI61">
        <f t="shared" si="23"/>
        <v>1.00978926760254</v>
      </c>
      <c r="AK61">
        <v>2022</v>
      </c>
      <c r="AL61" s="12">
        <v>1.0815222568751</v>
      </c>
      <c r="AM61">
        <f t="shared" si="24"/>
        <v>1.15576873868498</v>
      </c>
      <c r="AO61">
        <v>2022</v>
      </c>
      <c r="AP61" s="12">
        <v>0.997076902701579</v>
      </c>
      <c r="AQ61">
        <f t="shared" si="25"/>
        <v>0.992060742832821</v>
      </c>
      <c r="AS61">
        <v>2022</v>
      </c>
      <c r="AT61" s="12">
        <v>1.00414792013079</v>
      </c>
      <c r="AU61">
        <f t="shared" si="26"/>
        <v>1.01510116569423</v>
      </c>
      <c r="AW61">
        <v>2022</v>
      </c>
      <c r="AX61" s="12">
        <v>1.00177204676499</v>
      </c>
      <c r="AY61">
        <f t="shared" si="27"/>
        <v>1.01372367251825</v>
      </c>
      <c r="BA61">
        <v>2022</v>
      </c>
      <c r="BB61" s="12">
        <v>1.00227466250716</v>
      </c>
      <c r="BC61">
        <f t="shared" si="28"/>
        <v>1.00155864951697</v>
      </c>
      <c r="BE61">
        <v>2022</v>
      </c>
      <c r="BF61" s="12">
        <v>0.973315142481805</v>
      </c>
      <c r="BG61">
        <f t="shared" si="29"/>
        <v>1.01012940823112</v>
      </c>
    </row>
    <row r="62" spans="1:59">
      <c r="A62">
        <v>2023</v>
      </c>
      <c r="B62" s="12">
        <v>0.997566685373527</v>
      </c>
      <c r="C62">
        <f t="shared" si="15"/>
        <v>1.01868171529017</v>
      </c>
      <c r="E62">
        <v>2023</v>
      </c>
      <c r="F62" s="12">
        <v>1.05417299719742</v>
      </c>
      <c r="G62">
        <f t="shared" si="16"/>
        <v>1.13075502812242</v>
      </c>
      <c r="I62">
        <v>2023</v>
      </c>
      <c r="J62" s="12">
        <v>1.01722473570935</v>
      </c>
      <c r="K62">
        <f t="shared" si="17"/>
        <v>0.935712151925835</v>
      </c>
      <c r="M62">
        <v>2023</v>
      </c>
      <c r="N62" s="12">
        <v>1.02070744381763</v>
      </c>
      <c r="O62">
        <f t="shared" si="18"/>
        <v>0.942846112495657</v>
      </c>
      <c r="Q62">
        <v>2023</v>
      </c>
      <c r="R62" s="12">
        <v>0.925621417254085</v>
      </c>
      <c r="S62">
        <f t="shared" si="19"/>
        <v>0.925482085539482</v>
      </c>
      <c r="U62">
        <v>2023</v>
      </c>
      <c r="V62" s="12">
        <v>0.999572093193081</v>
      </c>
      <c r="W62">
        <f t="shared" si="20"/>
        <v>1.00652097366425</v>
      </c>
      <c r="Y62">
        <v>2023</v>
      </c>
      <c r="Z62" s="12">
        <v>0.99228672483858</v>
      </c>
      <c r="AA62">
        <f t="shared" si="21"/>
        <v>0.916797870468694</v>
      </c>
      <c r="AC62">
        <v>2023</v>
      </c>
      <c r="AD62" s="12">
        <v>1.08863770737183</v>
      </c>
      <c r="AE62">
        <f t="shared" si="22"/>
        <v>1.18910083428686</v>
      </c>
      <c r="AG62">
        <v>2023</v>
      </c>
      <c r="AH62" s="12">
        <v>1.00373686403861</v>
      </c>
      <c r="AI62">
        <f t="shared" si="23"/>
        <v>1.01356271280321</v>
      </c>
      <c r="AK62">
        <v>2023</v>
      </c>
      <c r="AL62" s="12">
        <v>0.909612277022382</v>
      </c>
      <c r="AM62">
        <f t="shared" si="24"/>
        <v>1.05130143410653</v>
      </c>
      <c r="AO62">
        <v>2023</v>
      </c>
      <c r="AP62" s="12">
        <v>1.13860672048488</v>
      </c>
      <c r="AQ62">
        <f t="shared" si="25"/>
        <v>1.12956702891868</v>
      </c>
      <c r="AS62">
        <v>2023</v>
      </c>
      <c r="AT62" s="12">
        <v>1.00389805515168</v>
      </c>
      <c r="AU62">
        <f t="shared" si="26"/>
        <v>1.01905808602265</v>
      </c>
      <c r="AW62">
        <v>2023</v>
      </c>
      <c r="AX62" s="12">
        <v>0.938901495324381</v>
      </c>
      <c r="AY62">
        <f t="shared" si="27"/>
        <v>0.951786671973109</v>
      </c>
      <c r="BA62">
        <v>2023</v>
      </c>
      <c r="BB62" s="12">
        <v>0.931641400226468</v>
      </c>
      <c r="BC62">
        <f t="shared" si="28"/>
        <v>0.933093502644919</v>
      </c>
      <c r="BE62">
        <v>2023</v>
      </c>
      <c r="BF62" s="12">
        <v>1.06082996873246</v>
      </c>
      <c r="BG62">
        <f t="shared" si="29"/>
        <v>1.07157554854956</v>
      </c>
    </row>
    <row r="66" spans="1:19">
      <c r="A66" s="8" t="s">
        <v>0</v>
      </c>
      <c r="B66" s="9" t="s">
        <v>2</v>
      </c>
      <c r="C66" t="s">
        <v>35</v>
      </c>
      <c r="E66" s="8" t="s">
        <v>0</v>
      </c>
      <c r="F66" s="9" t="s">
        <v>2</v>
      </c>
      <c r="G66" t="s">
        <v>36</v>
      </c>
      <c r="I66" s="8" t="s">
        <v>0</v>
      </c>
      <c r="J66" s="9" t="s">
        <v>2</v>
      </c>
      <c r="K66" t="s">
        <v>37</v>
      </c>
      <c r="M66" s="8" t="s">
        <v>0</v>
      </c>
      <c r="N66" s="9" t="s">
        <v>2</v>
      </c>
      <c r="O66" t="s">
        <v>38</v>
      </c>
      <c r="Q66" s="8" t="s">
        <v>0</v>
      </c>
      <c r="R66" s="9" t="s">
        <v>2</v>
      </c>
      <c r="S66" t="s">
        <v>39</v>
      </c>
    </row>
    <row r="67" spans="1:19">
      <c r="A67" s="10">
        <v>1995</v>
      </c>
      <c r="B67" s="11">
        <v>1</v>
      </c>
      <c r="C67">
        <f>B67</f>
        <v>1</v>
      </c>
      <c r="E67" s="10">
        <v>1995</v>
      </c>
      <c r="F67" s="11">
        <v>1</v>
      </c>
      <c r="G67">
        <f>F67</f>
        <v>1</v>
      </c>
      <c r="I67" s="10">
        <v>1995</v>
      </c>
      <c r="J67" s="11">
        <v>1</v>
      </c>
      <c r="K67">
        <f>J67</f>
        <v>1</v>
      </c>
      <c r="M67" s="10">
        <v>1995</v>
      </c>
      <c r="N67" s="11">
        <v>1</v>
      </c>
      <c r="O67">
        <f>N67</f>
        <v>1</v>
      </c>
      <c r="Q67" s="10">
        <v>1995</v>
      </c>
      <c r="R67" s="11">
        <v>1</v>
      </c>
      <c r="S67">
        <f>R67</f>
        <v>1</v>
      </c>
    </row>
    <row r="68" spans="1:19">
      <c r="A68">
        <v>1996</v>
      </c>
      <c r="B68" s="12">
        <v>1.01028554062082</v>
      </c>
      <c r="C68">
        <f t="shared" ref="C68:C95" si="30">C67*B68</f>
        <v>1.01028554062082</v>
      </c>
      <c r="E68">
        <v>1996</v>
      </c>
      <c r="F68" s="12">
        <v>1.00360224149837</v>
      </c>
      <c r="G68">
        <f t="shared" ref="G68:G95" si="31">G67*F68</f>
        <v>1.00360224149837</v>
      </c>
      <c r="I68">
        <v>1996</v>
      </c>
      <c r="J68" s="12">
        <v>0.98570570337109</v>
      </c>
      <c r="K68">
        <f t="shared" ref="K68:K95" si="32">K67*J68</f>
        <v>0.98570570337109</v>
      </c>
      <c r="M68">
        <v>1996</v>
      </c>
      <c r="N68" s="12">
        <v>0.992150543720901</v>
      </c>
      <c r="O68">
        <f t="shared" ref="O68:O95" si="33">O67*N68</f>
        <v>0.992150543720901</v>
      </c>
      <c r="Q68">
        <v>1996</v>
      </c>
      <c r="R68" s="12">
        <v>0.984169318572141</v>
      </c>
      <c r="S68">
        <f t="shared" ref="S68:S95" si="34">S67*R68</f>
        <v>0.984169318572141</v>
      </c>
    </row>
    <row r="69" spans="1:19">
      <c r="A69">
        <v>1997</v>
      </c>
      <c r="B69" s="12">
        <v>0.996621473029395</v>
      </c>
      <c r="C69">
        <f t="shared" si="30"/>
        <v>1.00687226367382</v>
      </c>
      <c r="E69">
        <v>1997</v>
      </c>
      <c r="F69" s="12">
        <v>1.00319631916627</v>
      </c>
      <c r="G69">
        <f t="shared" si="31"/>
        <v>1.00681007457819</v>
      </c>
      <c r="I69">
        <v>1997</v>
      </c>
      <c r="J69" s="12">
        <v>0.988002144771836</v>
      </c>
      <c r="K69">
        <f t="shared" si="32"/>
        <v>0.973879349044468</v>
      </c>
      <c r="M69">
        <v>1997</v>
      </c>
      <c r="N69" s="12">
        <v>1.05667853941919</v>
      </c>
      <c r="O69">
        <f t="shared" si="33"/>
        <v>1.04838418742296</v>
      </c>
      <c r="Q69">
        <v>1997</v>
      </c>
      <c r="R69" s="12">
        <v>0.972756644966778</v>
      </c>
      <c r="S69">
        <f t="shared" si="34"/>
        <v>0.957357244413476</v>
      </c>
    </row>
    <row r="70" spans="1:19">
      <c r="A70">
        <v>1998</v>
      </c>
      <c r="B70" s="12">
        <v>0.977167509068613</v>
      </c>
      <c r="C70">
        <f t="shared" si="30"/>
        <v>0.983882861844418</v>
      </c>
      <c r="E70">
        <v>1998</v>
      </c>
      <c r="F70" s="12">
        <v>0.995133677259199</v>
      </c>
      <c r="G70">
        <f t="shared" si="31"/>
        <v>1.00191061181661</v>
      </c>
      <c r="I70">
        <v>1998</v>
      </c>
      <c r="J70" s="12">
        <v>1.01039522570146</v>
      </c>
      <c r="K70">
        <f t="shared" si="32"/>
        <v>0.984003044683776</v>
      </c>
      <c r="M70">
        <v>1998</v>
      </c>
      <c r="N70" s="12">
        <v>0.986747991495533</v>
      </c>
      <c r="O70">
        <f t="shared" si="33"/>
        <v>1.03449099125528</v>
      </c>
      <c r="Q70">
        <v>1998</v>
      </c>
      <c r="R70" s="12">
        <v>0.97985716375908</v>
      </c>
      <c r="S70">
        <f t="shared" si="34"/>
        <v>0.938073354215197</v>
      </c>
    </row>
    <row r="71" spans="1:19">
      <c r="A71">
        <v>1999</v>
      </c>
      <c r="B71" s="12">
        <v>1.00113043736017</v>
      </c>
      <c r="C71">
        <f t="shared" si="30"/>
        <v>0.984995079789477</v>
      </c>
      <c r="E71">
        <v>1999</v>
      </c>
      <c r="F71" s="12">
        <v>0.997464636359159</v>
      </c>
      <c r="G71">
        <f t="shared" si="31"/>
        <v>0.999370404080033</v>
      </c>
      <c r="I71">
        <v>1999</v>
      </c>
      <c r="J71" s="12">
        <v>1.0332890133393</v>
      </c>
      <c r="K71">
        <f t="shared" si="32"/>
        <v>1.01675953516417</v>
      </c>
      <c r="M71">
        <v>1999</v>
      </c>
      <c r="N71" s="12">
        <v>1.01003303353041</v>
      </c>
      <c r="O71">
        <f t="shared" si="33"/>
        <v>1.04487007405746</v>
      </c>
      <c r="Q71">
        <v>1999</v>
      </c>
      <c r="R71" s="12">
        <v>0.985613962375666</v>
      </c>
      <c r="S71">
        <f t="shared" si="34"/>
        <v>0.924578195647072</v>
      </c>
    </row>
    <row r="72" spans="1:19">
      <c r="A72">
        <v>2000</v>
      </c>
      <c r="B72" s="12">
        <v>0.999699413906366</v>
      </c>
      <c r="C72">
        <f t="shared" si="30"/>
        <v>0.984699003966194</v>
      </c>
      <c r="E72">
        <v>2000</v>
      </c>
      <c r="F72" s="12">
        <v>1.00001493761125</v>
      </c>
      <c r="G72">
        <f t="shared" si="31"/>
        <v>0.999385332286622</v>
      </c>
      <c r="I72">
        <v>2000</v>
      </c>
      <c r="J72" s="12">
        <v>0.96077873384149</v>
      </c>
      <c r="K72">
        <f t="shared" si="32"/>
        <v>0.976880938816292</v>
      </c>
      <c r="M72">
        <v>2000</v>
      </c>
      <c r="N72" s="12">
        <v>0.984315373134584</v>
      </c>
      <c r="O72">
        <f t="shared" si="33"/>
        <v>1.02848167682303</v>
      </c>
      <c r="Q72">
        <v>2000</v>
      </c>
      <c r="R72" s="12">
        <v>1.0063535538534</v>
      </c>
      <c r="S72">
        <f t="shared" si="34"/>
        <v>0.930452553004794</v>
      </c>
    </row>
    <row r="73" spans="1:19">
      <c r="A73">
        <v>2001</v>
      </c>
      <c r="B73" s="12">
        <v>0.985030105222282</v>
      </c>
      <c r="C73">
        <f t="shared" si="30"/>
        <v>0.969958163489096</v>
      </c>
      <c r="E73">
        <v>2001</v>
      </c>
      <c r="F73" s="12">
        <v>0.994971105327023</v>
      </c>
      <c r="G73">
        <f t="shared" si="31"/>
        <v>0.994359528712835</v>
      </c>
      <c r="I73">
        <v>2001</v>
      </c>
      <c r="J73" s="12">
        <v>1.0847060244493</v>
      </c>
      <c r="K73">
        <f t="shared" si="32"/>
        <v>1.05962863950372</v>
      </c>
      <c r="M73">
        <v>2001</v>
      </c>
      <c r="N73" s="12">
        <v>1.00178843425925</v>
      </c>
      <c r="O73">
        <f t="shared" si="33"/>
        <v>1.03032104868887</v>
      </c>
      <c r="Q73">
        <v>2001</v>
      </c>
      <c r="R73" s="12">
        <v>1.05505194574265</v>
      </c>
      <c r="S73">
        <f t="shared" si="34"/>
        <v>0.981675776468919</v>
      </c>
    </row>
    <row r="74" spans="1:19">
      <c r="A74">
        <v>2002</v>
      </c>
      <c r="B74" s="12">
        <v>1.01658058161497</v>
      </c>
      <c r="C74">
        <f t="shared" si="30"/>
        <v>0.986040633981938</v>
      </c>
      <c r="E74">
        <v>2002</v>
      </c>
      <c r="F74" s="12">
        <v>1.01088823990917</v>
      </c>
      <c r="G74">
        <f t="shared" si="31"/>
        <v>1.00518635381743</v>
      </c>
      <c r="I74">
        <v>2002</v>
      </c>
      <c r="J74" s="12">
        <v>0.953131035837514</v>
      </c>
      <c r="K74">
        <f t="shared" si="32"/>
        <v>1.00996494277328</v>
      </c>
      <c r="M74">
        <v>2002</v>
      </c>
      <c r="N74" s="12">
        <v>1.0098323141908</v>
      </c>
      <c r="O74">
        <f t="shared" si="33"/>
        <v>1.04045148895697</v>
      </c>
      <c r="Q74">
        <v>2002</v>
      </c>
      <c r="R74" s="12">
        <v>1.02248041713986</v>
      </c>
      <c r="S74">
        <f t="shared" si="34"/>
        <v>1.00374425742003</v>
      </c>
    </row>
    <row r="75" spans="1:19">
      <c r="A75">
        <v>2003</v>
      </c>
      <c r="B75" s="12">
        <v>1.02961138576951</v>
      </c>
      <c r="C75">
        <f t="shared" si="30"/>
        <v>1.01523866357919</v>
      </c>
      <c r="E75">
        <v>2003</v>
      </c>
      <c r="F75" s="12">
        <v>0.997997212281927</v>
      </c>
      <c r="G75">
        <f t="shared" si="31"/>
        <v>1.00317317893363</v>
      </c>
      <c r="I75">
        <v>2003</v>
      </c>
      <c r="J75" s="12">
        <v>0.978189901835155</v>
      </c>
      <c r="K75">
        <f t="shared" si="32"/>
        <v>0.987937508228342</v>
      </c>
      <c r="M75">
        <v>2003</v>
      </c>
      <c r="N75" s="12">
        <v>1.04512833363763</v>
      </c>
      <c r="O75">
        <f t="shared" si="33"/>
        <v>1.08740533088439</v>
      </c>
      <c r="Q75">
        <v>2003</v>
      </c>
      <c r="R75" s="12">
        <v>1.01263622497728</v>
      </c>
      <c r="S75">
        <f t="shared" si="34"/>
        <v>1.01642779567644</v>
      </c>
    </row>
    <row r="76" spans="1:19">
      <c r="A76">
        <v>2004</v>
      </c>
      <c r="B76" s="12">
        <v>1.01353029646754</v>
      </c>
      <c r="C76">
        <f t="shared" si="30"/>
        <v>1.02897514368272</v>
      </c>
      <c r="E76">
        <v>2004</v>
      </c>
      <c r="F76" s="12">
        <v>1.00367256252885</v>
      </c>
      <c r="G76">
        <f t="shared" si="31"/>
        <v>1.00685739516053</v>
      </c>
      <c r="I76">
        <v>2004</v>
      </c>
      <c r="J76" s="12">
        <v>0.965747349277578</v>
      </c>
      <c r="K76">
        <f t="shared" si="32"/>
        <v>0.954098029823418</v>
      </c>
      <c r="M76">
        <v>2004</v>
      </c>
      <c r="N76" s="12">
        <v>1.06105156955524</v>
      </c>
      <c r="O76">
        <f t="shared" si="33"/>
        <v>1.15379313307762</v>
      </c>
      <c r="Q76">
        <v>2004</v>
      </c>
      <c r="R76" s="12">
        <v>0.98972745235868</v>
      </c>
      <c r="S76">
        <f t="shared" si="34"/>
        <v>1.00598649272139</v>
      </c>
    </row>
    <row r="77" spans="1:19">
      <c r="A77">
        <v>2005</v>
      </c>
      <c r="B77" s="12">
        <v>0.996264740055311</v>
      </c>
      <c r="C77">
        <f t="shared" si="30"/>
        <v>1.02513165404444</v>
      </c>
      <c r="E77">
        <v>2005</v>
      </c>
      <c r="F77" s="12">
        <v>1.00678271706654</v>
      </c>
      <c r="G77">
        <f t="shared" si="31"/>
        <v>1.01368662399826</v>
      </c>
      <c r="I77">
        <v>2005</v>
      </c>
      <c r="J77" s="12">
        <v>1.00571699469313</v>
      </c>
      <c r="K77">
        <f t="shared" si="32"/>
        <v>0.959552603196642</v>
      </c>
      <c r="M77">
        <v>2005</v>
      </c>
      <c r="N77" s="12">
        <v>1.00426226432312</v>
      </c>
      <c r="O77">
        <f t="shared" si="33"/>
        <v>1.158710904385</v>
      </c>
      <c r="Q77">
        <v>2005</v>
      </c>
      <c r="R77" s="12">
        <v>0.993590471480052</v>
      </c>
      <c r="S77">
        <f t="shared" si="34"/>
        <v>0.999538593605613</v>
      </c>
    </row>
    <row r="78" spans="1:19">
      <c r="A78">
        <v>2006</v>
      </c>
      <c r="B78" s="12">
        <v>1.00342437086906</v>
      </c>
      <c r="C78">
        <f t="shared" si="30"/>
        <v>1.0286420850175</v>
      </c>
      <c r="E78">
        <v>2006</v>
      </c>
      <c r="F78" s="12">
        <v>0.99757995751253</v>
      </c>
      <c r="G78">
        <f t="shared" si="31"/>
        <v>1.0112334592992</v>
      </c>
      <c r="I78">
        <v>2006</v>
      </c>
      <c r="J78" s="12">
        <v>0.974373847009194</v>
      </c>
      <c r="K78">
        <f t="shared" si="32"/>
        <v>0.934962961384399</v>
      </c>
      <c r="M78">
        <v>2006</v>
      </c>
      <c r="N78" s="12">
        <v>1.00116816957963</v>
      </c>
      <c r="O78">
        <f t="shared" si="33"/>
        <v>1.16006447521508</v>
      </c>
      <c r="Q78">
        <v>2006</v>
      </c>
      <c r="R78" s="12">
        <v>1.00775493631886</v>
      </c>
      <c r="S78">
        <f t="shared" si="34"/>
        <v>1.00728995174726</v>
      </c>
    </row>
    <row r="79" spans="1:19">
      <c r="A79">
        <v>2007</v>
      </c>
      <c r="B79" s="12">
        <v>0.990161849995336</v>
      </c>
      <c r="C79">
        <f t="shared" si="30"/>
        <v>1.01852214988399</v>
      </c>
      <c r="E79">
        <v>2007</v>
      </c>
      <c r="F79" s="12">
        <v>1.00870369355479</v>
      </c>
      <c r="G79">
        <f t="shared" si="31"/>
        <v>1.02003492544129</v>
      </c>
      <c r="I79">
        <v>2007</v>
      </c>
      <c r="J79" s="12">
        <v>1.00421108437296</v>
      </c>
      <c r="K79">
        <f t="shared" si="32"/>
        <v>0.938900169300384</v>
      </c>
      <c r="M79">
        <v>2007</v>
      </c>
      <c r="N79" s="12">
        <v>1.03647714749657</v>
      </c>
      <c r="O79">
        <f t="shared" si="33"/>
        <v>1.20238031818303</v>
      </c>
      <c r="Q79">
        <v>2007</v>
      </c>
      <c r="R79" s="12">
        <v>1.04247640007324</v>
      </c>
      <c r="S79">
        <f t="shared" si="34"/>
        <v>1.05007600272744</v>
      </c>
    </row>
    <row r="80" spans="1:19">
      <c r="A80">
        <v>2008</v>
      </c>
      <c r="B80" s="12">
        <v>1.00500277020638</v>
      </c>
      <c r="C80">
        <f t="shared" si="30"/>
        <v>1.02361758214997</v>
      </c>
      <c r="E80">
        <v>2008</v>
      </c>
      <c r="F80" s="12">
        <v>1.00514344045091</v>
      </c>
      <c r="G80">
        <f t="shared" si="31"/>
        <v>1.02528141433815</v>
      </c>
      <c r="I80">
        <v>2008</v>
      </c>
      <c r="J80" s="12">
        <v>1.01643238242588</v>
      </c>
      <c r="K80">
        <f t="shared" si="32"/>
        <v>0.954328535942053</v>
      </c>
      <c r="M80">
        <v>2008</v>
      </c>
      <c r="N80" s="12">
        <v>1.01084943162237</v>
      </c>
      <c r="O80">
        <f t="shared" si="33"/>
        <v>1.21542546122925</v>
      </c>
      <c r="Q80">
        <v>2008</v>
      </c>
      <c r="R80" s="12">
        <v>1.05475729384161</v>
      </c>
      <c r="S80">
        <f t="shared" si="34"/>
        <v>1.1075753229648</v>
      </c>
    </row>
    <row r="81" spans="1:19">
      <c r="A81">
        <v>2009</v>
      </c>
      <c r="B81" s="12">
        <v>1.03347932395146</v>
      </c>
      <c r="C81">
        <f t="shared" si="30"/>
        <v>1.05788760678517</v>
      </c>
      <c r="E81">
        <v>2009</v>
      </c>
      <c r="F81" s="12">
        <v>0.998931499463279</v>
      </c>
      <c r="G81">
        <f t="shared" si="31"/>
        <v>1.02418590059664</v>
      </c>
      <c r="I81">
        <v>2009</v>
      </c>
      <c r="J81" s="12">
        <v>0.992541807662181</v>
      </c>
      <c r="K81">
        <f t="shared" si="32"/>
        <v>0.947210970167528</v>
      </c>
      <c r="M81">
        <v>2009</v>
      </c>
      <c r="N81" s="12">
        <v>1.04158991788453</v>
      </c>
      <c r="O81">
        <f t="shared" si="33"/>
        <v>1.26597490635654</v>
      </c>
      <c r="Q81">
        <v>2009</v>
      </c>
      <c r="R81" s="12">
        <v>1.12091017507119</v>
      </c>
      <c r="S81">
        <f t="shared" si="34"/>
        <v>1.24149244916901</v>
      </c>
    </row>
    <row r="82" spans="1:19">
      <c r="A82">
        <v>2010</v>
      </c>
      <c r="B82" s="12">
        <v>0.983669433749938</v>
      </c>
      <c r="C82">
        <f t="shared" si="30"/>
        <v>1.04061170313745</v>
      </c>
      <c r="E82">
        <v>2010</v>
      </c>
      <c r="F82" s="12">
        <v>1.01078863039587</v>
      </c>
      <c r="G82">
        <f t="shared" si="31"/>
        <v>1.03523546373484</v>
      </c>
      <c r="I82">
        <v>2010</v>
      </c>
      <c r="J82" s="12">
        <v>0.985001596652897</v>
      </c>
      <c r="K82">
        <f t="shared" si="32"/>
        <v>0.933004317982154</v>
      </c>
      <c r="M82">
        <v>2010</v>
      </c>
      <c r="N82" s="12">
        <v>0.95462297909982</v>
      </c>
      <c r="O82">
        <f t="shared" si="33"/>
        <v>1.2085287365717</v>
      </c>
      <c r="Q82">
        <v>2010</v>
      </c>
      <c r="R82" s="12">
        <v>0.975754281929791</v>
      </c>
      <c r="S82">
        <f t="shared" si="34"/>
        <v>1.21139157326017</v>
      </c>
    </row>
    <row r="83" spans="1:19">
      <c r="A83">
        <v>2011</v>
      </c>
      <c r="B83" s="12">
        <v>1.00388451353647</v>
      </c>
      <c r="C83">
        <f t="shared" si="30"/>
        <v>1.0446539733845</v>
      </c>
      <c r="E83">
        <v>2011</v>
      </c>
      <c r="F83" s="12">
        <v>1.02108711298326</v>
      </c>
      <c r="G83">
        <f t="shared" si="31"/>
        <v>1.0570655909229</v>
      </c>
      <c r="I83">
        <v>2011</v>
      </c>
      <c r="J83" s="12">
        <v>0.983791799020413</v>
      </c>
      <c r="K83">
        <f t="shared" si="32"/>
        <v>0.917881996481477</v>
      </c>
      <c r="M83">
        <v>2011</v>
      </c>
      <c r="N83" s="12">
        <v>1.03159303508332</v>
      </c>
      <c r="O83">
        <f t="shared" si="33"/>
        <v>1.24670982734541</v>
      </c>
      <c r="Q83">
        <v>2011</v>
      </c>
      <c r="R83" s="12">
        <v>0.997240690155599</v>
      </c>
      <c r="S83">
        <f t="shared" si="34"/>
        <v>1.20804896856665</v>
      </c>
    </row>
    <row r="84" spans="1:19">
      <c r="A84">
        <v>2012</v>
      </c>
      <c r="B84" s="12">
        <v>1.00284663348715</v>
      </c>
      <c r="C84">
        <f t="shared" si="30"/>
        <v>1.04762772036762</v>
      </c>
      <c r="E84">
        <v>2012</v>
      </c>
      <c r="F84" s="12">
        <v>0.990072266619676</v>
      </c>
      <c r="G84">
        <f t="shared" si="31"/>
        <v>1.0465713255707</v>
      </c>
      <c r="I84">
        <v>2012</v>
      </c>
      <c r="J84" s="12">
        <v>0.986146754824555</v>
      </c>
      <c r="K84">
        <f t="shared" si="32"/>
        <v>0.905166352142092</v>
      </c>
      <c r="M84">
        <v>2012</v>
      </c>
      <c r="N84" s="12">
        <v>0.997202349945645</v>
      </c>
      <c r="O84">
        <f t="shared" si="33"/>
        <v>1.24322196952917</v>
      </c>
      <c r="Q84">
        <v>2012</v>
      </c>
      <c r="R84" s="12">
        <v>0.976803303518856</v>
      </c>
      <c r="S84">
        <f t="shared" si="34"/>
        <v>1.18002622330845</v>
      </c>
    </row>
    <row r="85" spans="1:19">
      <c r="A85">
        <v>2013</v>
      </c>
      <c r="B85" s="12">
        <v>1.02126960636788</v>
      </c>
      <c r="C85">
        <f t="shared" si="30"/>
        <v>1.06991034959992</v>
      </c>
      <c r="E85">
        <v>2013</v>
      </c>
      <c r="F85" s="12">
        <v>1.00173593917924</v>
      </c>
      <c r="G85">
        <f t="shared" si="31"/>
        <v>1.04838810973863</v>
      </c>
      <c r="I85">
        <v>2013</v>
      </c>
      <c r="J85" s="12">
        <v>1.01648711306424</v>
      </c>
      <c r="K85">
        <f t="shared" si="32"/>
        <v>0.920089932131799</v>
      </c>
      <c r="M85">
        <v>2013</v>
      </c>
      <c r="N85" s="12">
        <v>0.989008952862032</v>
      </c>
      <c r="O85">
        <f t="shared" si="33"/>
        <v>1.22955765825912</v>
      </c>
      <c r="Q85">
        <v>2013</v>
      </c>
      <c r="R85" s="12">
        <v>0.99419178700911</v>
      </c>
      <c r="S85">
        <f t="shared" si="34"/>
        <v>1.17317237966863</v>
      </c>
    </row>
    <row r="86" spans="1:19">
      <c r="A86">
        <v>2014</v>
      </c>
      <c r="B86" s="12">
        <v>0.978694084311791</v>
      </c>
      <c r="C86">
        <f t="shared" si="30"/>
        <v>1.0471149298974</v>
      </c>
      <c r="E86">
        <v>2014</v>
      </c>
      <c r="F86" s="12">
        <v>1.00706647456083</v>
      </c>
      <c r="G86">
        <f t="shared" si="31"/>
        <v>1.05579651764597</v>
      </c>
      <c r="I86">
        <v>2014</v>
      </c>
      <c r="J86" s="12">
        <v>0.984792040742698</v>
      </c>
      <c r="K86">
        <f t="shared" si="32"/>
        <v>0.906097241930885</v>
      </c>
      <c r="M86">
        <v>2014</v>
      </c>
      <c r="N86" s="12">
        <v>0.985621886423914</v>
      </c>
      <c r="O86">
        <f t="shared" si="33"/>
        <v>1.21187893860032</v>
      </c>
      <c r="Q86">
        <v>2014</v>
      </c>
      <c r="R86" s="12">
        <v>0.991331516396542</v>
      </c>
      <c r="S86">
        <f t="shared" si="34"/>
        <v>1.16300275413145</v>
      </c>
    </row>
    <row r="87" spans="1:19">
      <c r="A87">
        <v>2015</v>
      </c>
      <c r="B87" s="12">
        <v>0.978545637310509</v>
      </c>
      <c r="C87">
        <f t="shared" si="30"/>
        <v>1.0246497464138</v>
      </c>
      <c r="E87">
        <v>2015</v>
      </c>
      <c r="F87" s="12">
        <v>1.00028867984915</v>
      </c>
      <c r="G87">
        <f t="shared" si="31"/>
        <v>1.05610130482542</v>
      </c>
      <c r="I87">
        <v>2015</v>
      </c>
      <c r="J87" s="12">
        <v>0.947414040497095</v>
      </c>
      <c r="K87">
        <f t="shared" si="32"/>
        <v>0.858449249061014</v>
      </c>
      <c r="M87">
        <v>2015</v>
      </c>
      <c r="N87" s="12">
        <v>0.977621260413629</v>
      </c>
      <c r="O87">
        <f t="shared" si="33"/>
        <v>1.18475861542318</v>
      </c>
      <c r="Q87">
        <v>2015</v>
      </c>
      <c r="R87" s="12">
        <v>0.990018566796041</v>
      </c>
      <c r="S87">
        <f t="shared" si="34"/>
        <v>1.15139431982506</v>
      </c>
    </row>
    <row r="88" spans="1:19">
      <c r="A88">
        <v>2016</v>
      </c>
      <c r="B88" s="12">
        <v>0.978030613232295</v>
      </c>
      <c r="C88">
        <f t="shared" si="30"/>
        <v>1.00213881983341</v>
      </c>
      <c r="E88">
        <v>2016</v>
      </c>
      <c r="F88" s="12">
        <v>1.00800103970773</v>
      </c>
      <c r="G88">
        <f t="shared" si="31"/>
        <v>1.06455121330071</v>
      </c>
      <c r="I88">
        <v>2016</v>
      </c>
      <c r="J88" s="12">
        <v>0.979623302596559</v>
      </c>
      <c r="K88">
        <f t="shared" si="32"/>
        <v>0.840956888476686</v>
      </c>
      <c r="M88">
        <v>2016</v>
      </c>
      <c r="N88" s="12">
        <v>0.968017998582167</v>
      </c>
      <c r="O88">
        <f t="shared" si="33"/>
        <v>1.14686766370492</v>
      </c>
      <c r="Q88">
        <v>2016</v>
      </c>
      <c r="R88" s="12">
        <v>1.02311929623861</v>
      </c>
      <c r="S88">
        <f t="shared" si="34"/>
        <v>1.17801374619255</v>
      </c>
    </row>
    <row r="89" spans="1:19">
      <c r="A89">
        <v>2017</v>
      </c>
      <c r="B89" s="12">
        <v>0.995015533971323</v>
      </c>
      <c r="C89">
        <f t="shared" si="30"/>
        <v>0.997143692929928</v>
      </c>
      <c r="E89">
        <v>2017</v>
      </c>
      <c r="F89" s="12">
        <v>1.00100021474486</v>
      </c>
      <c r="G89">
        <f t="shared" si="31"/>
        <v>1.06561599312091</v>
      </c>
      <c r="I89">
        <v>2017</v>
      </c>
      <c r="J89" s="12">
        <v>0.97040830311952</v>
      </c>
      <c r="K89">
        <f t="shared" si="32"/>
        <v>0.816071547143333</v>
      </c>
      <c r="M89">
        <v>2017</v>
      </c>
      <c r="N89" s="12">
        <v>0.97896474867528</v>
      </c>
      <c r="O89">
        <f t="shared" si="33"/>
        <v>1.1227430141627</v>
      </c>
      <c r="Q89">
        <v>2017</v>
      </c>
      <c r="R89" s="12">
        <v>0.998256725022493</v>
      </c>
      <c r="S89">
        <f t="shared" si="34"/>
        <v>1.17596014430566</v>
      </c>
    </row>
    <row r="90" spans="1:19">
      <c r="A90">
        <v>2018</v>
      </c>
      <c r="B90" s="12">
        <v>1.01364788134699</v>
      </c>
      <c r="C90">
        <f t="shared" si="30"/>
        <v>1.01075259173694</v>
      </c>
      <c r="E90">
        <v>2018</v>
      </c>
      <c r="F90" s="12">
        <v>1.00206005157129</v>
      </c>
      <c r="G90">
        <f t="shared" si="31"/>
        <v>1.06781121702193</v>
      </c>
      <c r="I90">
        <v>2018</v>
      </c>
      <c r="J90" s="12">
        <v>0.991230210916287</v>
      </c>
      <c r="K90">
        <f t="shared" si="32"/>
        <v>0.808914771797666</v>
      </c>
      <c r="M90">
        <v>2018</v>
      </c>
      <c r="N90" s="12">
        <v>1.03032418875174</v>
      </c>
      <c r="O90">
        <f t="shared" si="33"/>
        <v>1.15678928524386</v>
      </c>
      <c r="Q90">
        <v>2018</v>
      </c>
      <c r="R90" s="12">
        <v>0.995357066387745</v>
      </c>
      <c r="S90">
        <f t="shared" si="34"/>
        <v>1.17050023942499</v>
      </c>
    </row>
    <row r="91" spans="1:19">
      <c r="A91">
        <v>2019</v>
      </c>
      <c r="B91" s="12">
        <v>0.996120236729016</v>
      </c>
      <c r="C91">
        <f t="shared" si="30"/>
        <v>1.00683111095546</v>
      </c>
      <c r="E91">
        <v>2019</v>
      </c>
      <c r="F91" s="12">
        <v>0.994122054987618</v>
      </c>
      <c r="G91">
        <f t="shared" si="31"/>
        <v>1.06153468140467</v>
      </c>
      <c r="I91">
        <v>2019</v>
      </c>
      <c r="J91" s="12">
        <v>1.05292878322613</v>
      </c>
      <c r="K91">
        <f t="shared" si="32"/>
        <v>0.851729646402563</v>
      </c>
      <c r="M91">
        <v>2019</v>
      </c>
      <c r="N91" s="12">
        <v>0.989373584255863</v>
      </c>
      <c r="O91">
        <f t="shared" si="33"/>
        <v>1.1444967613705</v>
      </c>
      <c r="Q91">
        <v>2019</v>
      </c>
      <c r="R91" s="12">
        <v>1.00348815523269</v>
      </c>
      <c r="S91">
        <f t="shared" si="34"/>
        <v>1.17458312596</v>
      </c>
    </row>
    <row r="92" spans="1:19">
      <c r="A92">
        <v>2020</v>
      </c>
      <c r="B92" s="12">
        <v>1.01726180508313</v>
      </c>
      <c r="C92">
        <f t="shared" si="30"/>
        <v>1.0242108333444</v>
      </c>
      <c r="E92">
        <v>2020</v>
      </c>
      <c r="F92" s="12">
        <v>1.01304429091795</v>
      </c>
      <c r="G92">
        <f t="shared" si="31"/>
        <v>1.07538164860841</v>
      </c>
      <c r="I92">
        <v>2020</v>
      </c>
      <c r="J92" s="12">
        <v>0.931583179214352</v>
      </c>
      <c r="K92">
        <f t="shared" si="32"/>
        <v>0.793457011826816</v>
      </c>
      <c r="M92">
        <v>2020</v>
      </c>
      <c r="N92" s="12">
        <v>1.02770850071848</v>
      </c>
      <c r="O92">
        <f t="shared" si="33"/>
        <v>1.17620905070523</v>
      </c>
      <c r="Q92">
        <v>2020</v>
      </c>
      <c r="R92" s="12">
        <v>1.01761195991379</v>
      </c>
      <c r="S92">
        <f t="shared" si="34"/>
        <v>1.19526983688982</v>
      </c>
    </row>
    <row r="93" spans="1:19">
      <c r="A93">
        <v>2021</v>
      </c>
      <c r="B93" s="12">
        <v>1.01227563584565</v>
      </c>
      <c r="C93">
        <f t="shared" si="30"/>
        <v>1.03678367256371</v>
      </c>
      <c r="E93">
        <v>2021</v>
      </c>
      <c r="F93" s="12">
        <v>1.01413250628232</v>
      </c>
      <c r="G93">
        <f t="shared" si="31"/>
        <v>1.09057948651326</v>
      </c>
      <c r="I93">
        <v>2021</v>
      </c>
      <c r="J93" s="12">
        <v>0.982866302537243</v>
      </c>
      <c r="K93">
        <f t="shared" si="32"/>
        <v>0.779862159436472</v>
      </c>
      <c r="M93">
        <v>2021</v>
      </c>
      <c r="N93" s="12">
        <v>1.01776775451798</v>
      </c>
      <c r="O93">
        <f t="shared" si="33"/>
        <v>1.19710764437999</v>
      </c>
      <c r="Q93">
        <v>2021</v>
      </c>
      <c r="R93" s="12">
        <v>1.01765070145379</v>
      </c>
      <c r="S93">
        <f t="shared" si="34"/>
        <v>1.21636718793748</v>
      </c>
    </row>
    <row r="94" spans="1:19">
      <c r="A94">
        <v>2022</v>
      </c>
      <c r="B94" s="12">
        <v>0.982878693307258</v>
      </c>
      <c r="C94">
        <f t="shared" si="30"/>
        <v>1.01903258133172</v>
      </c>
      <c r="E94">
        <v>2022</v>
      </c>
      <c r="F94" s="12">
        <v>1.0061708572201</v>
      </c>
      <c r="G94">
        <f t="shared" si="31"/>
        <v>1.0973092968117</v>
      </c>
      <c r="I94">
        <v>2022</v>
      </c>
      <c r="J94" s="12">
        <v>1.01153612457837</v>
      </c>
      <c r="K94">
        <f t="shared" si="32"/>
        <v>0.788858746461685</v>
      </c>
      <c r="M94">
        <v>2022</v>
      </c>
      <c r="N94" s="12">
        <v>0.995730774318259</v>
      </c>
      <c r="O94">
        <f t="shared" si="33"/>
        <v>1.19199692168079</v>
      </c>
      <c r="Q94">
        <v>2022</v>
      </c>
      <c r="R94" s="12">
        <v>0.993136121605256</v>
      </c>
      <c r="S94">
        <f t="shared" si="34"/>
        <v>1.20801819147612</v>
      </c>
    </row>
    <row r="95" spans="1:19">
      <c r="A95">
        <v>2023</v>
      </c>
      <c r="B95" s="12">
        <v>1.02822110660774</v>
      </c>
      <c r="C95">
        <f t="shared" si="30"/>
        <v>1.04779080844624</v>
      </c>
      <c r="E95">
        <v>2023</v>
      </c>
      <c r="F95" s="12">
        <v>0.999716415382839</v>
      </c>
      <c r="G95">
        <f t="shared" si="31"/>
        <v>1.09699811677486</v>
      </c>
      <c r="I95">
        <v>2023</v>
      </c>
      <c r="J95" s="12">
        <v>1.04494045040741</v>
      </c>
      <c r="K95">
        <f t="shared" si="32"/>
        <v>0.824310413835499</v>
      </c>
      <c r="M95">
        <v>2023</v>
      </c>
      <c r="N95" s="12">
        <v>1.06503295068373</v>
      </c>
      <c r="O95">
        <f t="shared" si="33"/>
        <v>1.26951599870362</v>
      </c>
      <c r="Q95">
        <v>2023</v>
      </c>
      <c r="R95" s="12">
        <v>1.02840749511592</v>
      </c>
      <c r="S95">
        <f t="shared" si="34"/>
        <v>1.24233496235042</v>
      </c>
    </row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zoomScale="90" zoomScaleNormal="90" workbookViewId="0">
      <selection activeCell="D3" sqref="D3"/>
    </sheetView>
  </sheetViews>
  <sheetFormatPr defaultColWidth="8.88888888888889" defaultRowHeight="14.4" outlineLevelCol="3"/>
  <cols>
    <col min="1" max="1" width="8.88888888888889" style="1"/>
    <col min="2" max="2" width="24.5555555555556" style="1" customWidth="1"/>
    <col min="3" max="3" width="43.7037037037037" style="1" customWidth="1"/>
    <col min="4" max="4" width="38.0185185185185" style="1" customWidth="1"/>
  </cols>
  <sheetData>
    <row r="1" spans="1:4">
      <c r="A1" s="1" t="s">
        <v>40</v>
      </c>
      <c r="B1" s="6" t="s">
        <v>41</v>
      </c>
    </row>
    <row r="2" spans="1:4">
      <c r="A2" s="1" t="s">
        <v>0</v>
      </c>
      <c r="B2" s="1" t="s">
        <v>42</v>
      </c>
      <c r="C2" s="1" t="s">
        <v>43</v>
      </c>
      <c r="D2" s="1" t="s">
        <v>44</v>
      </c>
    </row>
    <row r="3" spans="1:4">
      <c r="A3" s="1">
        <v>1995</v>
      </c>
      <c r="B3" s="1">
        <v>1</v>
      </c>
      <c r="C3" s="1" t="s">
        <v>45</v>
      </c>
      <c r="D3" s="1">
        <v>1</v>
      </c>
    </row>
    <row r="4" spans="1:4">
      <c r="A4" s="1">
        <v>1996</v>
      </c>
      <c r="B4" s="5">
        <v>1.00058237965236</v>
      </c>
      <c r="C4" s="1" t="s">
        <v>46</v>
      </c>
      <c r="D4" s="1">
        <v>1.00058237965236</v>
      </c>
    </row>
    <row r="5" spans="1:4">
      <c r="A5" s="1">
        <v>1997</v>
      </c>
      <c r="B5" s="5">
        <v>0.998708831705849</v>
      </c>
      <c r="C5" s="14" t="s">
        <v>47</v>
      </c>
      <c r="D5" s="1">
        <v>0.999290459408065</v>
      </c>
    </row>
    <row r="6" spans="1:4">
      <c r="A6" s="1">
        <v>1998</v>
      </c>
      <c r="B6" s="5">
        <v>0.984967501549618</v>
      </c>
      <c r="C6" s="1" t="s">
        <v>48</v>
      </c>
      <c r="D6" s="5">
        <v>0.984268627125531</v>
      </c>
    </row>
    <row r="7" spans="1:4">
      <c r="A7" s="1">
        <v>1999</v>
      </c>
      <c r="B7" s="5">
        <v>0.985001077701097</v>
      </c>
      <c r="C7" s="1" t="s">
        <v>49</v>
      </c>
      <c r="D7" s="5">
        <v>0.969505658466027</v>
      </c>
    </row>
    <row r="8" spans="1:4">
      <c r="A8" s="1">
        <v>2000</v>
      </c>
      <c r="B8" s="5">
        <v>1.00181365796915</v>
      </c>
      <c r="C8" s="1" t="s">
        <v>50</v>
      </c>
      <c r="D8" s="5">
        <v>0.971264010129636</v>
      </c>
    </row>
    <row r="9" spans="1:4">
      <c r="A9" s="1">
        <v>2001</v>
      </c>
      <c r="B9" s="5">
        <v>1.02633142123989</v>
      </c>
      <c r="C9" s="1" t="s">
        <v>51</v>
      </c>
      <c r="D9" s="5">
        <v>0.9968387719155</v>
      </c>
    </row>
    <row r="10" spans="1:4">
      <c r="A10" s="1">
        <v>2002</v>
      </c>
      <c r="B10" s="5">
        <v>0.983088214211067</v>
      </c>
      <c r="C10" s="1" t="s">
        <v>52</v>
      </c>
      <c r="D10" s="5">
        <v>0.979980448138761</v>
      </c>
    </row>
    <row r="11" spans="1:4">
      <c r="A11" s="1">
        <v>2003</v>
      </c>
      <c r="B11" s="5">
        <v>0.985907895135021</v>
      </c>
      <c r="C11" s="1" t="s">
        <v>53</v>
      </c>
      <c r="D11" s="5">
        <v>0.966170460897961</v>
      </c>
    </row>
    <row r="12" spans="1:4">
      <c r="A12" s="1">
        <v>2004</v>
      </c>
      <c r="B12" s="5">
        <v>1.03250064220998</v>
      </c>
      <c r="C12" s="1" t="s">
        <v>54</v>
      </c>
      <c r="D12" s="5">
        <v>0.997571621361459</v>
      </c>
    </row>
    <row r="13" spans="1:4">
      <c r="A13" s="1">
        <v>2005</v>
      </c>
      <c r="B13" s="5">
        <v>1.01403878166522</v>
      </c>
      <c r="C13" s="1" t="s">
        <v>55</v>
      </c>
      <c r="D13" s="5">
        <v>1.01157631154917</v>
      </c>
    </row>
    <row r="14" spans="1:4">
      <c r="A14" s="1">
        <v>2006</v>
      </c>
      <c r="B14" s="5">
        <v>0.992215249058513</v>
      </c>
      <c r="C14" s="1" t="s">
        <v>56</v>
      </c>
      <c r="D14" s="5">
        <v>1.00370144190546</v>
      </c>
    </row>
    <row r="15" spans="1:4">
      <c r="A15" s="1">
        <v>2007</v>
      </c>
      <c r="B15" s="5">
        <v>1.0068587888434</v>
      </c>
      <c r="C15" s="1" t="s">
        <v>57</v>
      </c>
      <c r="D15" s="5">
        <v>1.01058561815731</v>
      </c>
    </row>
    <row r="16" spans="1:4">
      <c r="A16" s="1">
        <v>2008</v>
      </c>
      <c r="B16" s="5">
        <v>1.02833133722051</v>
      </c>
      <c r="C16" s="1" t="s">
        <v>58</v>
      </c>
      <c r="D16" s="5">
        <v>1.03921686009552</v>
      </c>
    </row>
    <row r="17" spans="1:4">
      <c r="A17" s="1">
        <v>2009</v>
      </c>
      <c r="B17" s="5">
        <v>0.98045934259119</v>
      </c>
      <c r="C17" s="1" t="s">
        <v>59</v>
      </c>
      <c r="D17" s="5">
        <v>1.01890987945894</v>
      </c>
    </row>
    <row r="18" spans="1:4">
      <c r="A18" s="1">
        <v>2010</v>
      </c>
      <c r="B18" s="5">
        <v>1.05849424586435</v>
      </c>
      <c r="C18" s="1" t="s">
        <v>60</v>
      </c>
      <c r="D18" s="5">
        <v>1.07851024446162</v>
      </c>
    </row>
    <row r="19" spans="1:4">
      <c r="A19" s="1">
        <v>2011</v>
      </c>
      <c r="B19" s="5">
        <v>1.05249458296396</v>
      </c>
      <c r="C19" s="1" t="s">
        <v>61</v>
      </c>
      <c r="D19" s="5">
        <v>1.13512618996699</v>
      </c>
    </row>
    <row r="20" spans="1:4">
      <c r="A20" s="1">
        <v>2012</v>
      </c>
      <c r="B20" s="5">
        <v>1.02555524810084</v>
      </c>
      <c r="C20" s="1" t="s">
        <v>62</v>
      </c>
      <c r="D20" s="5">
        <v>1.16413462137736</v>
      </c>
    </row>
    <row r="21" spans="1:4">
      <c r="A21" s="1">
        <v>2013</v>
      </c>
      <c r="B21" s="1">
        <v>1.000657284951</v>
      </c>
      <c r="C21" s="1" t="s">
        <v>63</v>
      </c>
      <c r="D21" s="5">
        <v>1.16489978954493</v>
      </c>
    </row>
    <row r="22" spans="1:4">
      <c r="A22" s="1">
        <v>2014</v>
      </c>
      <c r="B22" s="5">
        <v>0.9800474830702</v>
      </c>
      <c r="C22" s="1" t="s">
        <v>64</v>
      </c>
      <c r="D22" s="5">
        <v>1.14165710677251</v>
      </c>
    </row>
    <row r="23" spans="1:4">
      <c r="A23" s="1">
        <v>2015</v>
      </c>
      <c r="B23" s="5">
        <v>0.973542054858091</v>
      </c>
      <c r="C23" s="1" t="s">
        <v>65</v>
      </c>
      <c r="D23" s="5">
        <v>1.11145120567066</v>
      </c>
    </row>
    <row r="24" spans="1:4">
      <c r="A24" s="1">
        <v>2016</v>
      </c>
      <c r="B24" s="5">
        <v>0.977057826663442</v>
      </c>
      <c r="C24" s="1" t="s">
        <v>66</v>
      </c>
      <c r="D24" s="5">
        <v>1.08595209945503</v>
      </c>
    </row>
    <row r="25" spans="1:4">
      <c r="A25" s="1">
        <v>2017</v>
      </c>
      <c r="B25" s="5">
        <v>1.04672603271679</v>
      </c>
      <c r="C25" s="1" t="s">
        <v>67</v>
      </c>
      <c r="D25" s="5">
        <v>1.13669433278304</v>
      </c>
    </row>
    <row r="26" spans="1:4">
      <c r="A26" s="1">
        <v>2018</v>
      </c>
      <c r="B26" s="5">
        <v>1.00416101461285</v>
      </c>
      <c r="C26" s="1" t="s">
        <v>68</v>
      </c>
      <c r="D26" s="5">
        <v>1.1414241345121</v>
      </c>
    </row>
    <row r="27" spans="1:4">
      <c r="A27" s="1">
        <v>2019</v>
      </c>
      <c r="B27" s="5">
        <v>1.01243129864425</v>
      </c>
      <c r="C27" s="1" t="s">
        <v>69</v>
      </c>
      <c r="D27" s="5">
        <v>1.15561351880797</v>
      </c>
    </row>
    <row r="28" spans="1:4">
      <c r="A28" s="1">
        <v>2020</v>
      </c>
      <c r="B28" s="5">
        <v>1.00966903127515</v>
      </c>
      <c r="C28" s="1" t="s">
        <v>70</v>
      </c>
      <c r="D28" s="5">
        <v>1.16678718206331</v>
      </c>
    </row>
    <row r="29" spans="1:4">
      <c r="A29" s="1">
        <v>2021</v>
      </c>
      <c r="B29" s="5">
        <v>1.0311497383828</v>
      </c>
      <c r="C29" s="1" t="s">
        <v>71</v>
      </c>
      <c r="D29" s="5">
        <v>1.20313229753299</v>
      </c>
    </row>
    <row r="30" spans="1:4">
      <c r="A30" s="1">
        <v>2022</v>
      </c>
      <c r="B30" s="5">
        <v>0.99545025089957</v>
      </c>
      <c r="C30" s="1" t="s">
        <v>72</v>
      </c>
      <c r="D30" s="5">
        <v>1.19765834744459</v>
      </c>
    </row>
    <row r="31" spans="1:4">
      <c r="A31" s="1">
        <v>2023</v>
      </c>
      <c r="B31" s="5">
        <v>0.9944842586827</v>
      </c>
      <c r="C31" s="1" t="s">
        <v>73</v>
      </c>
      <c r="D31" s="1">
        <v>1.19105237381358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zoomScale="90" zoomScaleNormal="90" workbookViewId="0">
      <selection activeCell="H13" sqref="H13"/>
    </sheetView>
  </sheetViews>
  <sheetFormatPr defaultColWidth="8.88888888888889" defaultRowHeight="14.4" outlineLevelCol="3"/>
  <cols>
    <col min="1" max="1" width="8.88888888888889" style="1"/>
    <col min="2" max="2" width="24.5555555555556" style="1" customWidth="1"/>
    <col min="3" max="3" width="43.7037037037037" style="1" customWidth="1"/>
    <col min="4" max="4" width="38.0185185185185" style="1" customWidth="1"/>
  </cols>
  <sheetData>
    <row r="1" spans="1:4">
      <c r="A1" s="1" t="s">
        <v>40</v>
      </c>
      <c r="B1" s="2" t="s">
        <v>74</v>
      </c>
    </row>
    <row r="2" spans="1:4">
      <c r="A2" s="1" t="s">
        <v>0</v>
      </c>
      <c r="B2" s="1" t="s">
        <v>42</v>
      </c>
      <c r="C2" s="1" t="s">
        <v>43</v>
      </c>
      <c r="D2" s="1" t="s">
        <v>44</v>
      </c>
    </row>
    <row r="3" spans="1:4">
      <c r="A3" s="1">
        <v>1995</v>
      </c>
      <c r="B3" s="3">
        <v>1</v>
      </c>
      <c r="C3" s="1" t="s">
        <v>45</v>
      </c>
      <c r="D3" s="1">
        <v>1</v>
      </c>
    </row>
    <row r="4" spans="1:4">
      <c r="A4" s="1">
        <v>1996</v>
      </c>
      <c r="B4" s="4">
        <v>0.998758367414738</v>
      </c>
      <c r="C4" s="1" t="s">
        <v>75</v>
      </c>
      <c r="D4" s="5">
        <v>0.998758367414738</v>
      </c>
    </row>
    <row r="5" spans="1:4">
      <c r="A5" s="1">
        <v>1997</v>
      </c>
      <c r="B5" s="4">
        <v>0.98966054380697</v>
      </c>
      <c r="C5" s="1" t="s">
        <v>76</v>
      </c>
      <c r="D5" s="5">
        <v>0.988431749027432</v>
      </c>
    </row>
    <row r="6" spans="1:4">
      <c r="A6" s="1">
        <v>1998</v>
      </c>
      <c r="B6" s="4">
        <v>0.999836990091741</v>
      </c>
      <c r="C6" s="1" t="s">
        <v>77</v>
      </c>
      <c r="D6" s="5">
        <v>0.988270624858703</v>
      </c>
    </row>
    <row r="7" spans="1:4">
      <c r="A7" s="1">
        <v>1999</v>
      </c>
      <c r="B7" s="4">
        <v>0.997151842665836</v>
      </c>
      <c r="C7" s="1" t="s">
        <v>78</v>
      </c>
      <c r="D7" s="5">
        <v>0.985455874630372</v>
      </c>
    </row>
    <row r="8" spans="1:4">
      <c r="A8" s="1">
        <v>2000</v>
      </c>
      <c r="B8" s="4">
        <v>0.99567895819747</v>
      </c>
      <c r="C8" s="1" t="s">
        <v>79</v>
      </c>
      <c r="D8" s="5">
        <v>0.981197678601546</v>
      </c>
    </row>
    <row r="9" spans="1:4">
      <c r="A9" s="1">
        <v>2001</v>
      </c>
      <c r="B9" s="4">
        <v>0.997557722240904</v>
      </c>
      <c r="C9" s="1" t="s">
        <v>80</v>
      </c>
      <c r="D9" s="5">
        <v>0.978801321333821</v>
      </c>
    </row>
    <row r="10" spans="1:4">
      <c r="A10" s="1">
        <v>2002</v>
      </c>
      <c r="B10" s="4">
        <v>1.0032818760179</v>
      </c>
      <c r="C10" s="1" t="s">
        <v>81</v>
      </c>
      <c r="D10" s="5">
        <v>0.982013625916594</v>
      </c>
    </row>
    <row r="11" spans="1:4">
      <c r="A11" s="1">
        <v>2003</v>
      </c>
      <c r="B11" s="4">
        <v>1.01258464317175</v>
      </c>
      <c r="C11" s="1" t="s">
        <v>82</v>
      </c>
      <c r="D11" s="5">
        <v>0.994371916988555</v>
      </c>
    </row>
    <row r="12" spans="1:4">
      <c r="A12" s="1">
        <v>2004</v>
      </c>
      <c r="B12" s="4">
        <v>1.0137067870647</v>
      </c>
      <c r="C12" s="1" t="s">
        <v>83</v>
      </c>
      <c r="D12" s="5">
        <v>1.00800156111784</v>
      </c>
    </row>
    <row r="13" spans="1:4">
      <c r="A13" s="1">
        <v>2005</v>
      </c>
      <c r="B13" s="4">
        <v>1.00220949599906</v>
      </c>
      <c r="C13" s="1" t="s">
        <v>84</v>
      </c>
      <c r="D13" s="5">
        <v>1.01022873653418</v>
      </c>
    </row>
    <row r="14" spans="1:4">
      <c r="A14" s="1">
        <v>2006</v>
      </c>
      <c r="B14" s="4">
        <v>1.00475740305338</v>
      </c>
      <c r="C14" s="1" t="s">
        <v>85</v>
      </c>
      <c r="D14" s="5">
        <v>1.01503480180998</v>
      </c>
    </row>
    <row r="15" spans="1:4">
      <c r="A15" s="1">
        <v>2007</v>
      </c>
      <c r="B15" s="4">
        <v>0.995885492645362</v>
      </c>
      <c r="C15" s="1" t="s">
        <v>86</v>
      </c>
      <c r="D15" s="5">
        <v>1.01085843365272</v>
      </c>
    </row>
    <row r="16" spans="1:4">
      <c r="A16" s="1">
        <v>2008</v>
      </c>
      <c r="B16" s="4">
        <v>0.995552477848189</v>
      </c>
      <c r="C16" s="1" t="s">
        <v>87</v>
      </c>
      <c r="D16" s="5">
        <v>1.0063626183767</v>
      </c>
    </row>
    <row r="17" spans="1:4">
      <c r="A17" s="1">
        <v>2009</v>
      </c>
      <c r="B17" s="4">
        <v>1.0127600797181</v>
      </c>
      <c r="C17" s="1" t="s">
        <v>88</v>
      </c>
      <c r="D17" s="5">
        <v>1.01920388561251</v>
      </c>
    </row>
    <row r="18" spans="1:4">
      <c r="A18" s="1">
        <v>2010</v>
      </c>
      <c r="B18" s="4">
        <v>0.999155901270603</v>
      </c>
      <c r="C18" s="1" t="s">
        <v>89</v>
      </c>
      <c r="D18" s="5">
        <v>1.01834357690767</v>
      </c>
    </row>
    <row r="19" spans="1:4">
      <c r="A19" s="1">
        <v>2011</v>
      </c>
      <c r="B19" s="4">
        <v>0.996028100753645</v>
      </c>
      <c r="C19" s="1" t="s">
        <v>90</v>
      </c>
      <c r="D19" s="5">
        <v>1.01429881882202</v>
      </c>
    </row>
    <row r="20" spans="1:4">
      <c r="A20" s="1">
        <v>2012</v>
      </c>
      <c r="B20" s="4">
        <v>0.998540664901795</v>
      </c>
      <c r="C20" s="1" t="s">
        <v>91</v>
      </c>
      <c r="D20" s="5">
        <v>1.01281861695564</v>
      </c>
    </row>
    <row r="21" spans="1:4">
      <c r="A21" s="1">
        <v>2013</v>
      </c>
      <c r="B21" s="4">
        <v>1.0009614507024</v>
      </c>
      <c r="C21" s="1" t="s">
        <v>92</v>
      </c>
      <c r="D21" s="5">
        <v>1.01379239212632</v>
      </c>
    </row>
    <row r="22" spans="1:4">
      <c r="A22" s="1">
        <v>2014</v>
      </c>
      <c r="B22" s="4">
        <v>1.00321729294833</v>
      </c>
      <c r="C22" s="1" t="s">
        <v>93</v>
      </c>
      <c r="D22" s="5">
        <v>1.01705405924058</v>
      </c>
    </row>
    <row r="23" spans="1:4">
      <c r="A23" s="1">
        <v>2015</v>
      </c>
      <c r="B23" s="4">
        <v>1.00390696412191</v>
      </c>
      <c r="C23" s="1" t="s">
        <v>94</v>
      </c>
      <c r="D23" s="5">
        <v>1.02102765296007</v>
      </c>
    </row>
    <row r="24" spans="1:4">
      <c r="A24" s="1">
        <v>2016</v>
      </c>
      <c r="B24" s="4">
        <v>0.994648932421623</v>
      </c>
      <c r="C24" s="1" t="s">
        <v>95</v>
      </c>
      <c r="D24" s="5">
        <v>1.01556406498969</v>
      </c>
    </row>
    <row r="25" spans="1:4">
      <c r="A25" s="1">
        <v>2017</v>
      </c>
      <c r="B25" s="4">
        <v>0.99457995891668</v>
      </c>
      <c r="C25" s="1" t="s">
        <v>96</v>
      </c>
      <c r="D25" s="5">
        <v>1.0100596660347</v>
      </c>
    </row>
    <row r="26" spans="1:4">
      <c r="A26" s="1">
        <v>2018</v>
      </c>
      <c r="B26" s="4">
        <v>0.999233812710848</v>
      </c>
      <c r="C26" s="1" t="s">
        <v>97</v>
      </c>
      <c r="D26" s="5">
        <v>1.0092857711573</v>
      </c>
    </row>
    <row r="27" spans="1:4">
      <c r="A27" s="1">
        <v>2019</v>
      </c>
      <c r="B27" s="4">
        <v>0.994101711309649</v>
      </c>
      <c r="C27" s="1" t="s">
        <v>98</v>
      </c>
      <c r="D27" s="5">
        <v>1.00333271230795</v>
      </c>
    </row>
    <row r="28" spans="1:4">
      <c r="A28" s="1">
        <v>2020</v>
      </c>
      <c r="B28" s="4">
        <v>1.00599199269091</v>
      </c>
      <c r="C28" s="1" t="s">
        <v>99</v>
      </c>
      <c r="D28" s="5">
        <v>1.00934467458665</v>
      </c>
    </row>
    <row r="29" spans="1:4">
      <c r="A29" s="1">
        <v>2021</v>
      </c>
      <c r="B29" s="4">
        <v>1.00534129992475</v>
      </c>
      <c r="C29" s="1" t="s">
        <v>100</v>
      </c>
      <c r="D29" s="5">
        <v>1.01473588722107</v>
      </c>
    </row>
    <row r="30" spans="1:4">
      <c r="A30" s="1">
        <v>2022</v>
      </c>
      <c r="B30" s="4">
        <v>1.0080768569432</v>
      </c>
      <c r="C30" s="1" t="s">
        <v>101</v>
      </c>
      <c r="D30" s="5">
        <v>1.02293176381728</v>
      </c>
    </row>
    <row r="31" spans="1:4">
      <c r="A31" s="1">
        <v>2023</v>
      </c>
      <c r="B31" s="4">
        <v>1.00524768462174</v>
      </c>
      <c r="C31" s="1" t="s">
        <v>102</v>
      </c>
      <c r="D31" s="1">
        <v>1.02829978710335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DMUs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shelly</cp:lastModifiedBy>
  <dcterms:created xsi:type="dcterms:W3CDTF">2025-09-03T09:14:00Z</dcterms:created>
  <dcterms:modified xsi:type="dcterms:W3CDTF">2026-01-04T03:22:32Z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BD1E26455D284ACF8E92D528713D7F3A_12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